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defaultThemeVersion="124226"/>
  <mc:AlternateContent xmlns:mc="http://schemas.openxmlformats.org/markup-compatibility/2006">
    <mc:Choice Requires="x15">
      <x15ac:absPath xmlns:x15ac="http://schemas.microsoft.com/office/spreadsheetml/2010/11/ac" url="Z:\Щанкин\Рабочий стол\мои отчеты\б чтобы не мешало\Отчет по аукционам для старших товароведов\2025\Аукционы 15.11.2025 для старших товароведов\"/>
    </mc:Choice>
  </mc:AlternateContent>
  <xr:revisionPtr revIDLastSave="0" documentId="8_{FA398F0F-0C3A-43AD-A47F-4E0D52A50CB5}" xr6:coauthVersionLast="47" xr6:coauthVersionMax="47" xr10:uidLastSave="{00000000-0000-0000-0000-000000000000}"/>
  <bookViews>
    <workbookView xWindow="7875" yWindow="2130" windowWidth="29010" windowHeight="17865" xr2:uid="{00000000-000D-0000-FFFF-FFFF00000000}"/>
  </bookViews>
  <sheets>
    <sheet name="Данные по аукциону" sheetId="2" r:id="rId1"/>
  </sheets>
  <definedNames>
    <definedName name="_xlnm._FilterDatabase" localSheetId="0" hidden="1">'Данные по аукциону'!$B$1:$N$1</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 l="1"/>
  <c r="N3" i="2"/>
  <c r="N4" i="2"/>
  <c r="N5" i="2"/>
  <c r="N6" i="2" l="1"/>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2" i="2"/>
  <c r="N1213" i="2" l="1"/>
  <c r="I1213" i="2" l="1"/>
  <c r="J1213" i="2"/>
</calcChain>
</file>

<file path=xl/sharedStrings.xml><?xml version="1.0" encoding="utf-8"?>
<sst xmlns="http://schemas.openxmlformats.org/spreadsheetml/2006/main" count="3822" uniqueCount="1627">
  <si>
    <t>Артикул</t>
  </si>
  <si>
    <t>1.Регион (заполняется сотрудником отдела НЮЗ)</t>
  </si>
  <si>
    <t>2.Подразделение (заполняется сотрудником отдела НЮЗ)</t>
  </si>
  <si>
    <t>3.Залоговый билет (заполняется сотрудником отдела НЮЗ)</t>
  </si>
  <si>
    <t>4.Вид предмета (заполняется сотрудником отдела НЮЗ)</t>
  </si>
  <si>
    <t>5.Описание (заполняется сотрудником отдела НЮЗ)</t>
  </si>
  <si>
    <t>6.Ссуда (заполняется сотрудником отдела НЮЗ)</t>
  </si>
  <si>
    <t>7.Розничная цена (заполняется сотрудником отдела НЮЗ)</t>
  </si>
  <si>
    <t>8.Дефекты (запоняется старшим товароведом-приемщиком)</t>
  </si>
  <si>
    <t>9.Комментарий (запоняется старшим товароведом-приемщиком)</t>
  </si>
  <si>
    <t>10.Средняя цена на вторичном рынке (запоняется старшим товароведом-приемщиком)</t>
  </si>
  <si>
    <t>11.Рекомендуемая розничная цена (запоняется старшим товароведом-приемщиком)</t>
  </si>
  <si>
    <t>12.Рекомендуемый % наценки (считается автоматически)</t>
  </si>
  <si>
    <t>3.Первоначальный залоговый билет (заполняется сотрудником отдела НЮЗ)</t>
  </si>
  <si>
    <t>Прочее техника</t>
  </si>
  <si>
    <t>Обогреватель</t>
  </si>
  <si>
    <t>Игровая приставка</t>
  </si>
  <si>
    <t>Электросамокат</t>
  </si>
  <si>
    <t>Велосипед</t>
  </si>
  <si>
    <t>Перфоратор</t>
  </si>
  <si>
    <t>Планшет</t>
  </si>
  <si>
    <t>Тепловизор</t>
  </si>
  <si>
    <t>Сотовый телефон</t>
  </si>
  <si>
    <t>Акустическая система</t>
  </si>
  <si>
    <t>Системный блок</t>
  </si>
  <si>
    <t>Ноутбук</t>
  </si>
  <si>
    <t>ОТПАРВИТЬ В ОФИС</t>
  </si>
  <si>
    <t>Прочий стройинструмент</t>
  </si>
  <si>
    <t>Игровая приставка (портативная)</t>
  </si>
  <si>
    <t>Электролобзик</t>
  </si>
  <si>
    <t>Телевизор</t>
  </si>
  <si>
    <t>Техника</t>
  </si>
  <si>
    <t>Наушники беспроводные полноразмерные</t>
  </si>
  <si>
    <t>Шуруповерт</t>
  </si>
  <si>
    <t>Пылесос</t>
  </si>
  <si>
    <t>Роутер Wi-Fi</t>
  </si>
  <si>
    <t>Прочее изделие</t>
  </si>
  <si>
    <t>Робот-пылесос</t>
  </si>
  <si>
    <t>Часы (неювелирные)</t>
  </si>
  <si>
    <t>Монитор</t>
  </si>
  <si>
    <t>Антиквариат</t>
  </si>
  <si>
    <t>Фотоаппарат цифровой</t>
  </si>
  <si>
    <t>Лыжное оборудование</t>
  </si>
  <si>
    <t>Наушники беспроводные внутриканальные</t>
  </si>
  <si>
    <t>Умные часы</t>
  </si>
  <si>
    <t>Внешний аккумулятор</t>
  </si>
  <si>
    <t>Мясорубка</t>
  </si>
  <si>
    <t>Прочий спортинвентарь</t>
  </si>
  <si>
    <t>Прочая мелкая электроника</t>
  </si>
  <si>
    <t>Прочая кухонная/бытовая техника</t>
  </si>
  <si>
    <t>Чайник электрический</t>
  </si>
  <si>
    <t>Экшн-камера</t>
  </si>
  <si>
    <t>Массажер</t>
  </si>
  <si>
    <t>Дрель</t>
  </si>
  <si>
    <t>Прочая теле/аудио техника</t>
  </si>
  <si>
    <t>Отпариватель</t>
  </si>
  <si>
    <t>Шлифовальная машина</t>
  </si>
  <si>
    <t>Циркулярная пила</t>
  </si>
  <si>
    <t>Микроволновая печь</t>
  </si>
  <si>
    <t>УШМ (угловая шлифмашина, болгарка)</t>
  </si>
  <si>
    <t>Нивелир (уровень лазерный)</t>
  </si>
  <si>
    <t>Утюг</t>
  </si>
  <si>
    <t>Лазерный дальномер</t>
  </si>
  <si>
    <t>Строительная техника</t>
  </si>
  <si>
    <t>Принтер</t>
  </si>
  <si>
    <t>Весы</t>
  </si>
  <si>
    <t>Гитара</t>
  </si>
  <si>
    <t>Фен</t>
  </si>
  <si>
    <t>Соковыжималка</t>
  </si>
  <si>
    <t>Клавиатура</t>
  </si>
  <si>
    <t>Самокат</t>
  </si>
  <si>
    <t>Инструмент слесарный</t>
  </si>
  <si>
    <t>Музыкальные инструменты</t>
  </si>
  <si>
    <t>Фитнес браслет</t>
  </si>
  <si>
    <t>Прочий музыкальный инструмент</t>
  </si>
  <si>
    <t>Электропила</t>
  </si>
  <si>
    <t>Металлоискатель</t>
  </si>
  <si>
    <t>Автомобильный видеорегистратор</t>
  </si>
  <si>
    <t>Видеокамера цифровая</t>
  </si>
  <si>
    <t>Электровелосипед</t>
  </si>
  <si>
    <t>Кухонная техника</t>
  </si>
  <si>
    <t>Проектор</t>
  </si>
  <si>
    <t>Проф. набор</t>
  </si>
  <si>
    <t>Отбойный молоток</t>
  </si>
  <si>
    <t>009 г.Санкт-Петербург</t>
  </si>
  <si>
    <t>Ломбард №005; г.Санкт-Петербург, пр. Науки, д. 14, кор.2, лит. А, пом. 12-Н</t>
  </si>
  <si>
    <t>00050004617</t>
  </si>
  <si>
    <t>Сообщите вес каждого наушника и зарядного кейса: 5,48 5.51 44,73,  Huawei Free Bud 55 Нет Незначительные следы эксплуатации</t>
  </si>
  <si>
    <t>00050006228</t>
  </si>
  <si>
    <t>, ASUS  M1605Y  Сумка, зарядка AMD Ryzen 5  7530U  16  AMD  Radeon (TM) Graphics</t>
  </si>
  <si>
    <t>, Xiaomi Redmi Note 13 8 ГБ 512 ГБ Незначительные потертости Только чехол</t>
  </si>
  <si>
    <t>00050006424</t>
  </si>
  <si>
    <t>Состояние: Хорошее, Commo CTWS-ANC01-CHR Коробка, провод Незначительные потертости</t>
  </si>
  <si>
    <t>00050006473</t>
  </si>
  <si>
    <t>, TECNO Camon 30 8 ГБ 256 ГБ Царапина на экране Без комплекта</t>
  </si>
  <si>
    <t>00050006476</t>
  </si>
  <si>
    <t>, realme Note 60x 3 ГБ 64 ГБ Царапины потёртости Нет</t>
  </si>
  <si>
    <t>00050006695</t>
  </si>
  <si>
    <t>, realme C11 (2021) 2 ГБ 32 ГБ Трещины по корпусу, кусочка корпуса не хватает Без комплекта</t>
  </si>
  <si>
    <t>00050006782</t>
  </si>
  <si>
    <t>, Xiaomi Redmi 9C (NFC) 4 ГБ 128 ГБ Царапины потёртости грязь по углам вмятины местами стёрта краска лоток сим поврежден Нет</t>
  </si>
  <si>
    <t>00050006791</t>
  </si>
  <si>
    <t>Состояние: Удовлетворительное, Колонка SberBoom SBDV-00090 Скопилось в порах много пыли Провод</t>
  </si>
  <si>
    <t>00050006804</t>
  </si>
  <si>
    <t>; Состояние: Хорошее, Apple iPad (6-го поколения) (2018)  128 ГБ Незначительные потертости</t>
  </si>
  <si>
    <t>Ломбард №126; г. Санкт-Петербург,пр.Непокоренных,2 лит. "А",28Н</t>
  </si>
  <si>
    <t>01260004120</t>
  </si>
  <si>
    <t>, Samsung UE22H5000AK ПЫЛЬНЫЙ ЛИПКИЙ ПУЛЬТ ТОЖЕ ЛИПКИЙ ГРЯЗНЫЙ ПУЛЬТ НОЖКА КРОНШТЕЙНЫ</t>
  </si>
  <si>
    <t>01260004342</t>
  </si>
  <si>
    <t>, Honor 50 Lite 6 ГБ 128 ГБ потертости на задней крышке, небольшая трещина на камере на фото не влияет, чехол грязный коробка, блок, чехол</t>
  </si>
  <si>
    <t>01260004721</t>
  </si>
  <si>
    <t>, Яндекс YBDX-00020 Зу Вся затерты, в пятнах</t>
  </si>
  <si>
    <t>01260004752</t>
  </si>
  <si>
    <t>, Marshall Marshall Короб Потертости</t>
  </si>
  <si>
    <t>01260005255</t>
  </si>
  <si>
    <t>, Huawei Nova Y72S 8 ГБ 256 ГБ мелкие потертости, трещины  царапины на защ стекле, чехол чехол</t>
  </si>
  <si>
    <t>01260005377</t>
  </si>
  <si>
    <t>, Xiaomi Redmi 12 4 ГБ 128 ГБ Потертости царапины Зу</t>
  </si>
  <si>
    <t>01260005413</t>
  </si>
  <si>
    <t>Состояние: Удовлетворительное, Makita HR2470 Грязь царапины Кейс сверла</t>
  </si>
  <si>
    <t>01260005423</t>
  </si>
  <si>
    <t>Xiaomi 11T Pro 12 ГБ 256 ГБ Царапины на экране и по корпусу, с обратной стороны желез. наклейка, дефект дисплея Чехол</t>
  </si>
  <si>
    <t>01260005626</t>
  </si>
  <si>
    <t>, Xiaomi POCO F3 6 ГБ 128 ГБ Потертый корпус царапины га экране Коробкм зу</t>
  </si>
  <si>
    <t>01260005641</t>
  </si>
  <si>
    <t>Состояние: Плохое, Philips 50PUS7406/60 ПОТЕРТОСТИ ПЫЛЬ ЗАЛЯПАН , НЕТ ПУЛЬТА ПОЛНОСТЬЮ НЕ ПРОВЕРИТЬ КОРОБКА ПОДСТАВКА</t>
  </si>
  <si>
    <t>01260005689</t>
  </si>
  <si>
    <t>Состояние: Отличное, EDIFICE 5345  коробка,доки, подушечка</t>
  </si>
  <si>
    <t>Ломбард №176; г. Санкт-Петербург, ул. Белы Куна, 8 лит "А", пом. 33-Н</t>
  </si>
  <si>
    <t>01760006553</t>
  </si>
  <si>
    <t>, TECNO Pova 6 Pro 12 ГБ 256 ГБ Кривоват, в отверстиях пыль, , на экране нет  царапин ,небольшие потертости Коробка, чек, з у</t>
  </si>
  <si>
    <t>Ломбард №187; г. Санкт-Петербург, пр.Новочеркасский 28/19 лит А, пом. 8-н</t>
  </si>
  <si>
    <t>01870004705</t>
  </si>
  <si>
    <t>клавиатура dexp K-901BU нет коробка</t>
  </si>
  <si>
    <t>THUNDEROBOT H21 коробка, документы нет</t>
  </si>
  <si>
    <t>01870005587</t>
  </si>
  <si>
    <t>, Flashbook  F09HILU Царапины и вмятины по корпусу З/у Intel Celeron   256 8  Intel  UHD graphics 600</t>
  </si>
  <si>
    <t>01870006029</t>
  </si>
  <si>
    <t>Сообщите вес каждого наушника и зарядного кейса: 4,42;4,44;39,72, Jbl Wave beam Коробка , амбушюры, шнур зу Мелкие потертости</t>
  </si>
  <si>
    <t>01870006130</t>
  </si>
  <si>
    <t>, Zitrek - Грязь , царапины, потертости Кейс , 2 аккумулятора</t>
  </si>
  <si>
    <t>01870006137</t>
  </si>
  <si>
    <t>Apple Ipad Air (5-го поколения)  256 мелкие потертости коробка, зу</t>
  </si>
  <si>
    <t>01870006563</t>
  </si>
  <si>
    <t>, Triger 20122 Потёртости, царапины З/у в коробке</t>
  </si>
  <si>
    <t>01870006921</t>
  </si>
  <si>
    <t>, TECNO Camon 30 5G 8 ГБ 256 ГБ Потёртости и царапины по корпусу Без з/у</t>
  </si>
  <si>
    <t>01870006926</t>
  </si>
  <si>
    <t>, Apple iPhone 15  128 ГБ Потёртости Без з/у</t>
  </si>
  <si>
    <t>01870006981</t>
  </si>
  <si>
    <t>realme Note 50 3 ГБ 64 ГБ Царапины по корпусу Чехол, без з/у</t>
  </si>
  <si>
    <t>01870006982</t>
  </si>
  <si>
    <t>Состояние: Удовлетворительное, Huawei Free buds 3 Кейс Потёртости, царапины</t>
  </si>
  <si>
    <t>01870006990</t>
  </si>
  <si>
    <t>, Xiaomi Redmi A3 4 ГБ 128 ГБ Царапины и потертости Чехол</t>
  </si>
  <si>
    <t>01870007016</t>
  </si>
  <si>
    <t>, Xiaomi REDMI A5 3 ГБ 64 ГБ - Чехол</t>
  </si>
  <si>
    <t>01870007280</t>
  </si>
  <si>
    <t>Состояние: Удовлетворительное, Набор ключей и насадок FORCEKRAFT Без названия Есть ржавчина, пыль, Кейс</t>
  </si>
  <si>
    <t>01870007320</t>
  </si>
  <si>
    <t>; Состояние: Удовлетворительное, Lenovo  20382 Нет части крышки( куда лису должен вставляться ), потертости Зу , сумка Intel Celeron  N2840 512 2  Intel  Graphics</t>
  </si>
  <si>
    <t>01870007362</t>
  </si>
  <si>
    <t>840 столовая ложка металл серого цвета</t>
  </si>
  <si>
    <t>01870007413</t>
  </si>
  <si>
    <t>Состояние: Отличное, Electrolux ECH/R 2000 T Коробка, документы</t>
  </si>
  <si>
    <t>Ломбард №212; г.Санкт-Петербург, ул.Есенина 32 кор.1 А пом 49Н</t>
  </si>
  <si>
    <t>02120005015</t>
  </si>
  <si>
    <t>, Samsung Galaxy A11 8 ГБ 32 ГБ Корпус и стекло разбит, многочисленные повреждения. Разъем расшатан. Сильно подтормаживает. Без зу</t>
  </si>
  <si>
    <t>02120005017</t>
  </si>
  <si>
    <t>, Rowenta CV5940 Нет следов эксплуаиации. Коробка, насадка</t>
  </si>
  <si>
    <t>02120005129</t>
  </si>
  <si>
    <t>Тип видеоадаптера: Дискретный, iRU  14TLH Небольшие царапины на корпусе Зу Intel Core i5    8  Intel</t>
  </si>
  <si>
    <t>02120005357</t>
  </si>
  <si>
    <t>Производитель: Xiaomi, Размер экрана (мм.): 2,57, Серийный номер: 51494/B6AFMN4X802, Укажите комплектацию: Зу и часы</t>
  </si>
  <si>
    <t>02120005491</t>
  </si>
  <si>
    <t>, Samsung Galaxy A12 4 ГБ 64 ГБ Потертости, следы эксплуатации Без зу</t>
  </si>
  <si>
    <t>02120005493</t>
  </si>
  <si>
    <t>Комплектация (есть ли чек и гарантия): Чехол с клавиатурой (отсутствие неск клавиш, зу без провода., INOI inoiPad Max LTE 6 ГБ 128 ГБ Потертости состояние рабочее
Чехол с клавиатурой, со сколами, отсутствие в клавиши клавиатура автономная.</t>
  </si>
  <si>
    <t>02120005518</t>
  </si>
  <si>
    <t>, Infinix NOTE 30i 8 ГБ 256 ГБ Пртертости загряз Без зу</t>
  </si>
  <si>
    <t>02120005521</t>
  </si>
  <si>
    <t>, Xiaomi Redmi 9T 4 ГБ 64 ГБ Следы эксплуатации, потертости Без</t>
  </si>
  <si>
    <t>02120005528</t>
  </si>
  <si>
    <t>Состояние: Удовлетворительное, Makita  M14 Загрязнения потертости Без</t>
  </si>
  <si>
    <t>02120005529</t>
  </si>
  <si>
    <t>Состояние: Удовлетворительное, Bosch  GWS 9-125 S Сильные потертосьи загрязнегие , без</t>
  </si>
  <si>
    <t>02120005530</t>
  </si>
  <si>
    <t>Состояние: Удовлетворительное, VEGA LVH300 Потертости загрязнения Нивелир, зу, приемник излучения</t>
  </si>
  <si>
    <t>02120005548</t>
  </si>
  <si>
    <t>Состояние: Удовлетворительное, - Arnika 20M Нет Потертости</t>
  </si>
  <si>
    <t>02120005556</t>
  </si>
  <si>
    <t>, TECNO Camon 30 8 ГБ 256 ГБ Царапины на защите, потертости на корпусе Коробка, зу, чехол, чек от 01.08.2025</t>
  </si>
  <si>
    <t>02120005562</t>
  </si>
  <si>
    <t>, Honor 200 Pro 12 ГБ 512 ГБ Мелкие царапины на экранн Коробка зу телефон чехол</t>
  </si>
  <si>
    <t>02120005580</t>
  </si>
  <si>
    <t>, Huawei nova 12s 8 ГБ 256 ГБ На защите мелкие царапины телефон без зу</t>
  </si>
  <si>
    <t>02120005585</t>
  </si>
  <si>
    <t>, realme Note 60x 3 ГБ 64 ГБ Потертости на корпусе, царапины на экране, грязь Телефон без зу</t>
  </si>
  <si>
    <t>02120005612</t>
  </si>
  <si>
    <t>, TECNO Spark Go 2022 2 ГБ 32 ГБ Потериости мелкие царапины Чехол</t>
  </si>
  <si>
    <t>02120005832</t>
  </si>
  <si>
    <t>Состояние: Удовлетворительное, realme RMA2415 - Потертсти</t>
  </si>
  <si>
    <t>02120005852</t>
  </si>
  <si>
    <t>, OPPO A17k 3 ГБ 64 ГБ Засветы на экране, трещина экрана, потертости на корпусе, побиты углы Телефон</t>
  </si>
  <si>
    <t>02120005934</t>
  </si>
  <si>
    <t>кольцо желт металл с 1 бел кам</t>
  </si>
  <si>
    <t>Ломбард №224; г.Санкт-Петербург, ул.Ушинского 25,кор.1,лит А, пом. 5Н</t>
  </si>
  <si>
    <t>02240004068</t>
  </si>
  <si>
    <t>, Apple iPhone 11  64 ГБ АКБ 73%! , потерт и царап чех</t>
  </si>
  <si>
    <t>02240005085</t>
  </si>
  <si>
    <t>, ASUS  Vivobook ASUS Laptop потертости и царапина на корпусе зу Intel Core i5  13135U  8  Intel  UHD Graphics Family</t>
  </si>
  <si>
    <t>02240005255</t>
  </si>
  <si>
    <t>, Xiaomi Mi A2 4 ГБ 64 ГБ Мелкие царапины Нет</t>
  </si>
  <si>
    <t>02240005407</t>
  </si>
  <si>
    <t>; Состояние: Удовлетворительное, Huawei MatePad SE 4 ГБ 64 ГБ стерта краска возле гнезда зарядки,сбит угол, потертости и царапины на панели и на экране</t>
  </si>
  <si>
    <t>02240005411</t>
  </si>
  <si>
    <t>, TECNO Spark 20 Pro 8 ГБ 256 ГБ потерт и мел царап на пан и экр чех, без зу</t>
  </si>
  <si>
    <t>02240005623</t>
  </si>
  <si>
    <t>Apple iPhone X  64 ГБ АКБ 72. сервисное обслуж,  царап на панел и экране чех, без зу</t>
  </si>
  <si>
    <t>Ломбард №261; Санкт-Петербург г, Колпино г, проспект Ленина, дом 25, корпус А, пом. 6-н</t>
  </si>
  <si>
    <t>02610005843</t>
  </si>
  <si>
    <t>, Samsung UE32J4500AKAXRU нет без ножек, без крепления, пульт</t>
  </si>
  <si>
    <t>02610006677</t>
  </si>
  <si>
    <t>, OneOdio - наушники кабель видимых нет</t>
  </si>
  <si>
    <t>02610007065</t>
  </si>
  <si>
    <t>, N5 N5 Pro небольшие потертости по экрану коробка, з/у нет</t>
  </si>
  <si>
    <t>02610007100</t>
  </si>
  <si>
    <t>, Apple iPhone 8  64 ГБ Потерт Без зу</t>
  </si>
  <si>
    <t>02610007104</t>
  </si>
  <si>
    <t>, JBL 4 Небольшие потёртости Коробка</t>
  </si>
  <si>
    <t>02610007133</t>
  </si>
  <si>
    <t>статуэтка РСФСР настольный герб</t>
  </si>
  <si>
    <t>02610007261</t>
  </si>
  <si>
    <t>DEKO DKCD20FU-Li нет комплект без чека</t>
  </si>
  <si>
    <t>02610007327</t>
  </si>
  <si>
    <t>, Apple  MacBook Pro 2022 M2 Видимых нет з/у, коробка Apple  M2 256 8</t>
  </si>
  <si>
    <t>02610007915</t>
  </si>
  <si>
    <t>, Xiaomi Redmi Note 8 Pro 6 ГБ 128 ГБ Потертости,царапинки Только тел</t>
  </si>
  <si>
    <t>02610007918</t>
  </si>
  <si>
    <t>Состояние: Хорошее, JBL WAVE BUDC Наушники в Кейсе без з/у Потертости</t>
  </si>
  <si>
    <t>02610007936</t>
  </si>
  <si>
    <t>Состояние: Удовлетворительное, G-SHOCK G-SHOCK потертости на браслете царапина на корпусе, на стекле царапин нет браслет</t>
  </si>
  <si>
    <t>02610007946</t>
  </si>
  <si>
    <t>, Xiaomi Redmi Note 14 8 ГБ 128 ГБ видимых нет чехол</t>
  </si>
  <si>
    <t>02610007954</t>
  </si>
  <si>
    <t>СREATIVE INSPIRE N3300 в одном месте провода соед изолентой пыль старая модель комбик и 2 колонки</t>
  </si>
  <si>
    <t>02610007978</t>
  </si>
  <si>
    <t>, OUKITEL G1 6 ГБ 256 ГБ Видимых нет Коробка,блок питания без кабеля</t>
  </si>
  <si>
    <t>02610007988</t>
  </si>
  <si>
    <t>Apple iPhone 15 Pro  128 ГБ видимых нет чехол кабель з/у оригинальный</t>
  </si>
  <si>
    <t>02610008012</t>
  </si>
  <si>
    <t>Makita DF330D видимых нет шуруповерт + з/у</t>
  </si>
  <si>
    <t>Makita  111111 следы строительной грязи болгарка без диска</t>
  </si>
  <si>
    <t>02610008256</t>
  </si>
  <si>
    <t>, realme Note 50 3 ГБ 64 ГБ на одной из камер небольшая вмятина чехол</t>
  </si>
  <si>
    <t>02610008315</t>
  </si>
  <si>
    <t>, Honor X9c 12 ГБ 256 ГБ Нет Полный комплект без чека</t>
  </si>
  <si>
    <t>02610008316</t>
  </si>
  <si>
    <t>02610008354</t>
  </si>
  <si>
    <t>Состояние: Удовлетворительное, Sony WF-1000XM5 без з/у потертости по корпусу следы эксплуатаци</t>
  </si>
  <si>
    <t>02610008360</t>
  </si>
  <si>
    <t>, TECNO Spark 20c 8 ГБ 128 ГБ видимых нет чехол</t>
  </si>
  <si>
    <t>02610008394</t>
  </si>
  <si>
    <t>Состояние: Хорошее, Samsung UE40K5510BU Нет пульта!!!Состояние хорошее,без упаковки,немного заляпан пальцами экран Телевизор,провод.ножки.Пульта нет!!!!</t>
  </si>
  <si>
    <t>Ломбард №264; г. Санкт-Петербург, пр.Просвещения, 30/1 лит. А,пом. 73-Н</t>
  </si>
  <si>
    <t>02640002850</t>
  </si>
  <si>
    <t>Makita  4329 пыльный коробка, насадка</t>
  </si>
  <si>
    <t>Makita  GA5030 пыльный  коробка, ручка, диск</t>
  </si>
  <si>
    <t>02640004929</t>
  </si>
  <si>
    <t>Samsung Galaxy A35 5G 8 ГБ 256 ГБ Не снят с аккаунта Чехол , нет зу</t>
  </si>
  <si>
    <t>02640004961</t>
  </si>
  <si>
    <t>Marta MT-HP4222C Каробка Нет</t>
  </si>
  <si>
    <t>02640005112</t>
  </si>
  <si>
    <t>Lenovo  82К8 Включается только от розетки с зарядным устройством , потёртости на корпусе, есть царапина доль  на экране Зу AMD Ryzen 7  5800H with Radeon Graphics, 3201МГц 8 ядер 512 16  AMD</t>
  </si>
  <si>
    <t>02640005419</t>
  </si>
  <si>
    <t>Нетбук</t>
  </si>
  <si>
    <t>; Состояние: Плохое, Apple  А1466 Работает только от заряда  через  розетку нентбук не держит заряд., нет кнопки на клавиатуре , потертасти царапины Зу каробка Intel Core i5  1,8GHz 8   Intel  HD Graphics 6000 1536 Мб</t>
  </si>
  <si>
    <t>02640005443</t>
  </si>
  <si>
    <t>Samsung Galaxy A24 6 ГБ 128 ГБ Есть потёртости на корпусе Чехол</t>
  </si>
  <si>
    <t>02640005450</t>
  </si>
  <si>
    <t>, TECNO POVA 4Pro TECNO LG8n 8 ГБ 256 ГБ Есть царапины по корпусу Коробка документы зу</t>
  </si>
  <si>
    <t>02640005576</t>
  </si>
  <si>
    <t>Apple iPhone 14 Pro Max  128 ГБ Потертости по корпусу , маленкте царапины на экране Нет зу</t>
  </si>
  <si>
    <t>02640005793</t>
  </si>
  <si>
    <t>, Samsung Galaxy S21 5G 4 ГБ 128 ГБ Мелкие царапины на экране Есть коробка , нет зу</t>
  </si>
  <si>
    <t>02640005833</t>
  </si>
  <si>
    <t>, Samsung Galaxy A52 8 ГБ 128 ГБ Есть. Засветы на экране , глубокая царапина на экране Нет зу</t>
  </si>
  <si>
    <t>Ломбард №265; г. Санкт-Петербург, пр. Коломяжский, д. 26 лит.А,пом.26Н</t>
  </si>
  <si>
    <t>02650003342</t>
  </si>
  <si>
    <t>Производитель: Другое, Новый производитель: Яндекс, Укажите код модели: YNDX-00072, Укажите комплектацию: Коробка, пульт, ножки, шнур, Состояние: Хорошее, Недостатки: Минимальный износ и микро царапинки. Состояние почти как новый</t>
  </si>
  <si>
    <t>02650003579</t>
  </si>
  <si>
    <t>Тип видеоадаптера: Встроенный,  Apple Mac mini (Mid 2011) потертости царапины на нижней части шнур питания мышка клавиатура Intel Core i5  8 499 Intel HD Graphics 3000</t>
  </si>
  <si>
    <t>02650006248</t>
  </si>
  <si>
    <t>, roborock 57 Потёртости Коробка, зарядная станция</t>
  </si>
  <si>
    <t>02650006506</t>
  </si>
  <si>
    <t>, Samsung Galaxy S23+ 8 ГБ 512 ГБ незначительные потертости следы эксплуатации нет</t>
  </si>
  <si>
    <t>02650006553</t>
  </si>
  <si>
    <t>Комплектация (есть ли чек и гарантия): Коробка, евро зарядка (переходника нет), Apple iPad 11 (2025)  128 ГБ Состояние нового устройства</t>
  </si>
  <si>
    <t>02650006923</t>
  </si>
  <si>
    <t>Производитель: Casio, Укажите комплектацию: Коробка, Недостатки: Грязь, царапины на крышке</t>
  </si>
  <si>
    <t>02650007222</t>
  </si>
  <si>
    <t>Состояние: Хорошее, P.I.T. PBH24-C PROMO дефект шва корпуса нет</t>
  </si>
  <si>
    <t>Состояние: Отличное, Makita  М14 нет без диска</t>
  </si>
  <si>
    <t>02650007269</t>
  </si>
  <si>
    <t>Состояние: Отличное, Marenati 82599190 незначительные следы эксплуатации, стекло без дефектов нет</t>
  </si>
  <si>
    <t>02650007276</t>
  </si>
  <si>
    <t>Тип видеоадаптера: Встроенный, HP  250 G8 Клавиатура не русская, сверху наклейки. Потёртости, пыль. Зарядное устройство Intel Core i5  1135G7 256 GB 8  Intel  Iris(R) Xe Graphics</t>
  </si>
  <si>
    <t>02650007605</t>
  </si>
  <si>
    <t>, Xiaomi Redmi 13C 8 ГБ 256 ГБ Экран в защите, потёртости по корпусу, одна мелкая царапинка Чехол</t>
  </si>
  <si>
    <t>02650007635</t>
  </si>
  <si>
    <t>колье желтый металл цветные яички</t>
  </si>
  <si>
    <t>Ломбард №282; г. Санкт-Петербург, Ленинский пр., 93/1 лит. А, пом. 3Н</t>
  </si>
  <si>
    <t>02820007410</t>
  </si>
  <si>
    <t>tesno spark 40PRO 8 128 грязь царапины  коробка зу</t>
  </si>
  <si>
    <t>93690000967</t>
  </si>
  <si>
    <t>, Samsung Galaxy S22 Ultra 12 ГБ 512 ГБ Незначительные потертости, на экране защита Коробка, без зу</t>
  </si>
  <si>
    <t>Ломбард №336; г. Санкт-Петербург, п. Парголово, ул. Федора Абрамова, д.4 лит.А, пом.101Н</t>
  </si>
  <si>
    <t>03360003169</t>
  </si>
  <si>
    <t>, Samsung Galaxy S22+ 8 ГБ 256 ГБ Потертости Чехол</t>
  </si>
  <si>
    <t>03360003943</t>
  </si>
  <si>
    <t>, Apple iPhone 16  128 ГБ Потертости царапины Упаковка</t>
  </si>
  <si>
    <t>03360004183</t>
  </si>
  <si>
    <t>, Apple iPhone 15  128 ГБ Потёртости Только коробка</t>
  </si>
  <si>
    <t>03360004343</t>
  </si>
  <si>
    <t>Состояние: Хорошее, АТК Мercury1 Коробка Потёртости</t>
  </si>
  <si>
    <t>Ломбард №353; г. Санкт-Петербург, ул. Уточкина, д. 8,лит А,пом. 28-н</t>
  </si>
  <si>
    <t>03530003946</t>
  </si>
  <si>
    <t>, Apple iPhone 14 Pro  256 ГБ Мелк царап АКБ 92 Чехол белый</t>
  </si>
  <si>
    <t>03530004038</t>
  </si>
  <si>
    <t>, Xiaomi Redmi 12 4 ГБ 128 ГБ Потертости царапины Без зу</t>
  </si>
  <si>
    <t>03530004419</t>
  </si>
  <si>
    <t>03530004420</t>
  </si>
  <si>
    <t>, Apple iPhone 14 Pro Max  128 ГБ Потёртости грязь Чехол</t>
  </si>
  <si>
    <t>03530004604</t>
  </si>
  <si>
    <t>, Xiaomi Пауэрбанк PLM 18Z Без комплекта Сильно поцарапан</t>
  </si>
  <si>
    <t>03530004639</t>
  </si>
  <si>
    <t>; Состояние: Удовлетворительное, Huawei Media Pad M3 Lite 3 ГБ 32 ГБ Потертости царапины сколы краски</t>
  </si>
  <si>
    <t>03530004676</t>
  </si>
  <si>
    <t>, ECHIPS  NX140A-S Мелкие царапины Коробка зу Intel Celeron  J4125 512 8  Intel  Graphics family</t>
  </si>
  <si>
    <t>03530004687</t>
  </si>
  <si>
    <t>, Xiaomi Poco M3 Pro 5G 6 ГБ 128 ГБ Потёртости грязь царапины, камера разбита Без всего</t>
  </si>
  <si>
    <t>03530004699</t>
  </si>
  <si>
    <t>Квадрокоптер</t>
  </si>
  <si>
    <t>Производитель устройства: DJI mini, Модель устройства: Mini SE, Серийный номер: Нет, Укажите комплектацию: Кейс коробка зу, Состояние: Хорошее, Недостатки: Мелкие царапины</t>
  </si>
  <si>
    <t>03530004834</t>
  </si>
  <si>
    <t>Состояние: Удовлетворительное, HP  HP PAVILION Notebook Работает только от сети Зу Intel Core i5  i5-7200CPU  2  Nvidia</t>
  </si>
  <si>
    <t>03530004840</t>
  </si>
  <si>
    <t>, teXet TM-B227 1 ГБ 16 ГБ Потёрт Без всего</t>
  </si>
  <si>
    <t>03530004910</t>
  </si>
  <si>
    <t>Состояние: Хорошее, Bosch PBH2500 RE Небольшое загрязнение царапины потертости Кейс чек инструкция ручка</t>
  </si>
  <si>
    <t>Ломбард №360; г. Санкт-Петербург, пр. Художников, д. 35, лит. "А", пом.10-Н</t>
  </si>
  <si>
    <t>03600004280</t>
  </si>
  <si>
    <t>, Huawei nova 10 SE 8 ГБ 128 ГБ Неб потертости и царап Без зу без комплекта</t>
  </si>
  <si>
    <t>03600004444</t>
  </si>
  <si>
    <t>, TISSOT TO 14421A Небольшие потертости по корпусу и браслету. Нет ничего</t>
  </si>
  <si>
    <t>03600004497</t>
  </si>
  <si>
    <t>, Xiaomi Redmi 14C 8 ГБ 256 ГБ Потертости по корп и экрану, в районе камеры Без зу без комплекта</t>
  </si>
  <si>
    <t>03600004504</t>
  </si>
  <si>
    <t>, Xiaomi Poco C61 3 ГБ 64 ГБ - Коробка зу инструкция</t>
  </si>
  <si>
    <t>03600004656</t>
  </si>
  <si>
    <t>ложка чайная металл белого цвета вес 27,88</t>
  </si>
  <si>
    <t>03600004696</t>
  </si>
  <si>
    <t>, Xiaomi Redmi A3 4 ГБ 128 ГБ  Коробка, з/у нет, чехол силик.</t>
  </si>
  <si>
    <t>03600004740</t>
  </si>
  <si>
    <t>, Apple iPhone Xs  256 ГБ Через весь экран проходит широкая зеленая полоса, угол экрана черное пятно (может повреждена матрица?), выходит сообщение, что состояние аккумулятора ухудшилось, блютуз не грузит Без зу без комплекта</t>
  </si>
  <si>
    <t>03600004753</t>
  </si>
  <si>
    <t>, Samsung Galaxy A12 Nacho 3 ГБ 32 ГБ Небольшие потертости по корпусу и экрану, долго включается З/у нет</t>
  </si>
  <si>
    <t>Ломбард №369; Санкт-Петербург г, Колпино г, Тверская улица, дом 38, корпус А, п. 110-н</t>
  </si>
  <si>
    <t>03690006465</t>
  </si>
  <si>
    <t>, Samsung Galaxy A06 4 ГБ 128 ГБ Грязь Коробка без зу</t>
  </si>
  <si>
    <t>03690006708</t>
  </si>
  <si>
    <t>Xiaomi Poco M6 8 ГБ 256 ГБ  Без зу чехол</t>
  </si>
  <si>
    <t>03690006958</t>
  </si>
  <si>
    <t>, Brushless CB215 Потертости царапины Кейс зу 2аккум</t>
  </si>
  <si>
    <t>03690006983</t>
  </si>
  <si>
    <t>, TECNO Spark 10c 4 ГБ 64 ГБ  Без зу</t>
  </si>
  <si>
    <t>03690006991</t>
  </si>
  <si>
    <t>, Apple iPhone 12 Pro  128 ГБ  Без зу</t>
  </si>
  <si>
    <t>03690007001</t>
  </si>
  <si>
    <t>Состояние: Хорошее, ECHIPS  Echips Hot xps15u57  Зу Intel Core i3    8</t>
  </si>
  <si>
    <t>03690007009</t>
  </si>
  <si>
    <t>Состояние: Хорошее, Яндекс М00DNCD00E4CFB Зарядка Небольшие потертости</t>
  </si>
  <si>
    <t>03690007019</t>
  </si>
  <si>
    <t>, TECNO Pova Neo 2 6 ГБ 128 ГБ Разбит экран.желтит Без зу</t>
  </si>
  <si>
    <t>03690007022</t>
  </si>
  <si>
    <t>, TECNO Spark 30C 8 ГБ 256 ГБ  Без зу</t>
  </si>
  <si>
    <t>03690007024</t>
  </si>
  <si>
    <t>Состояние: Отличное, HYUNDAI HD-800ID  Коробка</t>
  </si>
  <si>
    <t>03690007035</t>
  </si>
  <si>
    <t>, Xiaomi Redmi 14C 4 ГБ 128 ГБ Царапины Без зу</t>
  </si>
  <si>
    <t>03690007071</t>
  </si>
  <si>
    <t>, Honor X9 c 12 ГБ 256 ГБ Царапины на дисплее Без зу</t>
  </si>
  <si>
    <t>03690007076</t>
  </si>
  <si>
    <t>, realme GT 2 Master Explorer Edition 8 ГБ 256 ГБ Фоновые остатки на дисплее, скол от этого трещины на дисплее Без зу</t>
  </si>
  <si>
    <t>03690007082</t>
  </si>
  <si>
    <t>, Apple iPhone 12  256 ГБ Акк 78процентов потертости Коробка</t>
  </si>
  <si>
    <t>03690007085</t>
  </si>
  <si>
    <t>, TECNO Spark 8C 4 ГБ 64 ГБ Потертости царапины Без зу</t>
  </si>
  <si>
    <t>03690007369</t>
  </si>
  <si>
    <t>Состояние: Отличное, Talant 02R.1.02.02.1 на ходу, без потертостей на стекле и покрытии, новые коробка,</t>
  </si>
  <si>
    <t>03690007398</t>
  </si>
  <si>
    <t>, Samsung Galaxy S21 5G 8 ГБ 256 ГБ  Коробка провод зарядки</t>
  </si>
  <si>
    <t>03690007413</t>
  </si>
  <si>
    <t>, Apple iPhone 16 Pro Max  512 ГБ  Без зу</t>
  </si>
  <si>
    <t>03690007441</t>
  </si>
  <si>
    <t>, realme Note 60x 3 ГБ 64 ГБ  Без зу</t>
  </si>
  <si>
    <t>Ломбард №369; Санкт-Петербург г, Колпино г, Тверская улица, дом 38, корпус А, п. 110-н (выездной)</t>
  </si>
  <si>
    <t>93690000892</t>
  </si>
  <si>
    <t>BQ 5031 G 1  царапины, потёртости коробка, ЗУ,</t>
  </si>
  <si>
    <t>Ломбард №373; г. Санкт-Петербург, ул. Маршала Захарова, д. 56, лит. А, 9Н</t>
  </si>
  <si>
    <t>03730001279</t>
  </si>
  <si>
    <t>03730001776</t>
  </si>
  <si>
    <t>Acer N19H1 потертости на клрпусе з/у, сумка AMD A9 9420e RADEON R5.5COMPUTE CORES 2C+3G    8 250 AMD Radeon R5 Graphics</t>
  </si>
  <si>
    <t>03730002186</t>
  </si>
  <si>
    <t>VALVE Corporation 1010 1000 Tb  чехол, з/у</t>
  </si>
  <si>
    <t>03730005071</t>
  </si>
  <si>
    <t>, Samsung Galaxy A34 5G 8 ГБ 256 ГБ  0</t>
  </si>
  <si>
    <t>03730005283</t>
  </si>
  <si>
    <t>, Apple iPhone 14 Pro Max  128 ГБ - -</t>
  </si>
  <si>
    <t>03730005645</t>
  </si>
  <si>
    <t>, КМ RH-801 Строительная грязь, потертости Кейс, сверла</t>
  </si>
  <si>
    <t>03730005646</t>
  </si>
  <si>
    <t>, FERM  INDUSTRIAL  AGM1115P Строительная грязь потертости Кейс кожух</t>
  </si>
  <si>
    <t>03730005647</t>
  </si>
  <si>
    <t>, TRIGER 20111 Сильные потертости грязь, следы эксплуатации З/у, 2 АКБ</t>
  </si>
  <si>
    <t>03730005655</t>
  </si>
  <si>
    <t>, Xiaomi Redmi A3x 3 ГБ 64 ГБ Царапина на камере Нет</t>
  </si>
  <si>
    <t>03730005696</t>
  </si>
  <si>
    <t>монета желтого цвета вес 7,90гр, "пятьдесят рублей" 2008г</t>
  </si>
  <si>
    <t>03730005697</t>
  </si>
  <si>
    <t>монета желтого цвета вес 7,86 гр. "пятьдесят рублей" 2008 г</t>
  </si>
  <si>
    <t>03730005698</t>
  </si>
  <si>
    <t>монета желтого цвета вес 7,88 гр "пятьдесят рублей" 2008 г</t>
  </si>
  <si>
    <t>03730005699</t>
  </si>
  <si>
    <t>03730005725</t>
  </si>
  <si>
    <t>монета желтого цвета вес 7,90 гр "пятьдесят рублей" 2008г</t>
  </si>
  <si>
    <t>03730005726</t>
  </si>
  <si>
    <t>монета желтого цвета вес 7,84 гр "пятьдесят рублей" 2008г</t>
  </si>
  <si>
    <t>03730005727</t>
  </si>
  <si>
    <t>монета желтого цвета вес 7,84 гр "пятьдесят рублей" 2008 г</t>
  </si>
  <si>
    <t>03730005728</t>
  </si>
  <si>
    <t>, Xiaomi Mi 9T 6 ГБ 64 ГБ - Коробка, з/у</t>
  </si>
  <si>
    <t>03730005753</t>
  </si>
  <si>
    <t>монета желтого цвета вес 7,80 гр "пятьдесят рублей" 2008 г</t>
  </si>
  <si>
    <t>03730005754</t>
  </si>
  <si>
    <t>03730006085</t>
  </si>
  <si>
    <t>, TECNO Pop 7 2 ГБ 64 ГБ Царап по экрану, потерт по корпусу по краям Без зу</t>
  </si>
  <si>
    <t>Ломбард №385; г. Санкт-Петербург, Искровский пр., д. 19, корп. 1, лит. "А", п. 39-Н</t>
  </si>
  <si>
    <t>03850004765</t>
  </si>
  <si>
    <t>03850004773</t>
  </si>
  <si>
    <t>, Apple iPhone 13  128 ГБ Нет Коробка,  зу</t>
  </si>
  <si>
    <t>03850004807</t>
  </si>
  <si>
    <t>, Milwaukee M12 BPRT Кейс, зу, 1 акб, инструкция Нет</t>
  </si>
  <si>
    <t>03850005446</t>
  </si>
  <si>
    <t>Pantum P2502 есть следы эксплуатации, пыль, следы липкого, чем-то залито. Царапины по всему корпусу  без комплекта</t>
  </si>
  <si>
    <t>03850005504</t>
  </si>
  <si>
    <t>ADA Cube 3-360 нет полная</t>
  </si>
  <si>
    <t>Makita HM0870C полная нет</t>
  </si>
  <si>
    <t>03850005525</t>
  </si>
  <si>
    <t>Прочая компьютерная периферия</t>
  </si>
  <si>
    <t>Apple Pro з/у есть царапины по корпусу, следы пальцев, на з/у желтое пятно</t>
  </si>
  <si>
    <t>03850005536</t>
  </si>
  <si>
    <t>Apple A1978 34 мм мелкие царапины по часам , царапины по внутренней части  з/у, коробка, ремешок</t>
  </si>
  <si>
    <t>03850005729</t>
  </si>
  <si>
    <t>KITFORT KT-1102-3 мелкцине царапины, незначительные потертости. Есть следы эксплуатации. При вклбчении крутится  медленно полная по книжке эксплуатации</t>
  </si>
  <si>
    <t>03850005757</t>
  </si>
  <si>
    <t>, Apple iPhone 11  128 ГБ Три засвета на экране. Следы вскрытия,  потёртости , царапины на на экране, акб 68% Чехол</t>
  </si>
  <si>
    <t>03850005770</t>
  </si>
  <si>
    <t>; Состояние: Хорошее, DLP H6 Пыль внетри Коробка,  пульт,  сет шнур</t>
  </si>
  <si>
    <t>03850005781</t>
  </si>
  <si>
    <t>Hohner Established 1857 мелкие царапины, чехол грязный, ручка на чехле порвана. Струны не настроены  чехол, паспорт</t>
  </si>
  <si>
    <t>03850005785</t>
  </si>
  <si>
    <t>Xiaomi Redmi 10S 6 Гб 128 Гб мелкие царапины по корпусу. Экран при проверке пикселей белая полоса справа, пятнышки на экране как засвет, пиксель темный. Углы сильно сбиты, царапины глубокие, слезла краска. Угол и экран сколы без комплекта</t>
  </si>
  <si>
    <t>POCO C 40 4 Гб 64 Гб Потертости на корпусе, царапины на экране. При проверке на пиксели нижняя часть белая, как-будтор меняли экран. Сбиты углы. без комплекта</t>
  </si>
  <si>
    <t>03850005822</t>
  </si>
  <si>
    <t>Huawei MatePad SE 4ГБ 64Гб мелкие царапины по корпусу, царапины. Гнездо раздолбано з/у, клавиатура с чехлом</t>
  </si>
  <si>
    <t>03850005823</t>
  </si>
  <si>
    <t>HONOR X9c 8 Гб 256 Гб есть незначительные следы эксплуатации з/у, коробка, документы</t>
  </si>
  <si>
    <t>03850005849</t>
  </si>
  <si>
    <t>, Xiaomi Redmi Note 14 6 ГБ 128 ГБ Незначительные потёртости Чехол</t>
  </si>
  <si>
    <t>03850005864</t>
  </si>
  <si>
    <t>, TECNO Pova 3 6 ГБ 128 ГБ Царапина на экране, потёртости на корпусе Чехол</t>
  </si>
  <si>
    <t>Ломбард №397; г. Санкт-Петербург, ул. Решетникова,д.3,лит.А,п.14н</t>
  </si>
  <si>
    <t>03970002617</t>
  </si>
  <si>
    <t>, Infinix Smart 8 Pro 8 ГБ 128 ГБ Потертости, царапины, небольшие сколы на корпусе Без зу</t>
  </si>
  <si>
    <t>03970002885</t>
  </si>
  <si>
    <t>, realme Note 50 3 ГБ 64 ГБ Потертости, следы эксплуатации Без зу</t>
  </si>
  <si>
    <t>03970002897</t>
  </si>
  <si>
    <t>Состояние: Хорошее, Apple A2096 .Инструкция , коробка</t>
  </si>
  <si>
    <t>03970002899</t>
  </si>
  <si>
    <t>Состояние: Удовлетворительное, Другое БДА-21-Б  Два аккумулятора,зу</t>
  </si>
  <si>
    <t>03970002900</t>
  </si>
  <si>
    <t>Состояние: Удовлетворительное, Другое БШУ-125-18Ли/Б Потёртости, бу устройство Два аккумулятора,  защитный кожух,зу,ключ</t>
  </si>
  <si>
    <t>03970002922</t>
  </si>
  <si>
    <t>Состояние: Удовлетворительное, Battery Collection Battery Collection  Потертости +зу</t>
  </si>
  <si>
    <t>03970003032</t>
  </si>
  <si>
    <t>Состояние: Хорошее, Neolaser Nl04002 Небольшие птертости Защитный кожух, отвертка,коробка, инструкция,ручка</t>
  </si>
  <si>
    <t>03970003033</t>
  </si>
  <si>
    <t>Состояние: Удовлетворительное, Спец БДА-18-Б Следы эксплуатации Аккумуляторная батарея, зу, кейс, инструкция</t>
  </si>
  <si>
    <t>03970003034</t>
  </si>
  <si>
    <t>Состояние: Хорошее, Спец БДА-18-Б  ЗУ,кейс, батарея</t>
  </si>
  <si>
    <t>03970003035</t>
  </si>
  <si>
    <t>Состояние: Хорошее, СпецПромо БДА-20-ПБ  Аккумуляторная батарея,кейс, зу, инструкция</t>
  </si>
  <si>
    <t>03970003051</t>
  </si>
  <si>
    <t>Состояние: Удовлетворительное, Neolaser ncdb-50 Потертости, царапины, следы эксплуатации Кейс, зу, 2 аккумулятора</t>
  </si>
  <si>
    <t>Состояние: Хорошее, Neolaser ncdb-50-16-bs Незначительные потертости Кейс, зу, 2 аккумулятора, инструкция</t>
  </si>
  <si>
    <t>Ломбард №411; Ленинградская обл.,Всеволожский муниц. р-н,г. Кудрово, Европейский пр., д.14/3,п.12Н</t>
  </si>
  <si>
    <t>04110002939</t>
  </si>
  <si>
    <t>Производитель: Яндекс, Модель: YNDX-00052, Укажите комплектацию: Коробка, зу, пульт, переходник, Состояние: Удовлетворительное, Недостатки: Пыль, Примечание: Перезалог, прошло 6 мес</t>
  </si>
  <si>
    <t>04110002941</t>
  </si>
  <si>
    <t>Производитель: LG Electronics, Укажите код модели: FH6, Укажите комплектацию: Пульт, коробка, документы, Состояние: Хорошее, Недостатки: Царапины, потертости</t>
  </si>
  <si>
    <t>04110003743</t>
  </si>
  <si>
    <t>, Huawei Watch GT 5 40 Незначительные потёртости Без зу</t>
  </si>
  <si>
    <t>04110003924</t>
  </si>
  <si>
    <t>; Состояние: Хорошее, Honor Pad X9 4 ГБ 64 ГБ Небольшие потёртости</t>
  </si>
  <si>
    <t>04110003948</t>
  </si>
  <si>
    <t>Состояние: Хорошее, Xiaomi Sound Outdoor mdz-38-db Небольшие потёртости Коробка, без зу</t>
  </si>
  <si>
    <t>04110003967</t>
  </si>
  <si>
    <t>Xiaomi Redmi 13C 8 ГБ 256 ГБ Небольшие потёртости на корпусе Коробка, з/у, чехол</t>
  </si>
  <si>
    <t>04110003982</t>
  </si>
  <si>
    <t>, Samsung Galaxy J2 Core 1 ГБ 8 ГБ Разбит экран, устройство было в активной эксплуатации Без комплекта</t>
  </si>
  <si>
    <t>04110004039</t>
  </si>
  <si>
    <t>04110004073</t>
  </si>
  <si>
    <t>Состояние: Хорошее, Steam cleaner DF-A001 Насадки, коробка Пыль, небольшие потёртости, без выкупа</t>
  </si>
  <si>
    <t>04110004087</t>
  </si>
  <si>
    <t>, Apple iPhone 11  128 ГБ Разбит экран в правом верхнем углу, разбит экран в нижнем левом углу,, сколы и потёртости по углам, царапины на корпусе, трещина на камере, не работает ID Без комплекта</t>
  </si>
  <si>
    <t>Ломбард №422; г. Санкт-Петербург, ул. Уточкина, д.2, к. 1, лит. А, п. 17Н</t>
  </si>
  <si>
    <t>04220001967</t>
  </si>
  <si>
    <t>ДЭКО  1V1H потерт  очки ЗУ кейс</t>
  </si>
  <si>
    <t>04220001968</t>
  </si>
  <si>
    <t>Braun  Multi Quick3 кор чаша насадки стакан</t>
  </si>
  <si>
    <t>04220002871</t>
  </si>
  <si>
    <t>Тепловентилятор Equation PF01-G потерт царап по корпусу пыль б/всего</t>
  </si>
  <si>
    <t>04220003139</t>
  </si>
  <si>
    <t>Тип видеоадаптера: Встроенный, Lenovo  82K2 Потёртости, царапины, наклейки Коробка, зу AMD Ryzen 5  5600H 512 16  AMD  Radeon (TM) Graphics</t>
  </si>
  <si>
    <t>04220003166</t>
  </si>
  <si>
    <t>MACHCREATOR  MACHCREATOR-AB Потёртости, царапины Сумка(оторвана ручка),зу Intel Core i3  1115G4 512 8  Intel  UHD Graphics</t>
  </si>
  <si>
    <t>04220003485</t>
  </si>
  <si>
    <t>Apple  MacBook Air   Сумка +ЗУ Mac Ios    8</t>
  </si>
  <si>
    <t>04220003700</t>
  </si>
  <si>
    <t>Apple А2566 Кейс наушники Мелк царап</t>
  </si>
  <si>
    <t>04220003701</t>
  </si>
  <si>
    <t>, TECNO Camon 40 8 ГБ 256 ГБ Мелк царап потерт по корп Без всего</t>
  </si>
  <si>
    <t>04220003718</t>
  </si>
  <si>
    <t>, Apple iPhone 12  128 ГБ Потерт по корпусу 
Сколы
АКБ 76 Без вмего</t>
  </si>
  <si>
    <t>04220003725</t>
  </si>
  <si>
    <t>, Xiaomi Redmi Note 8 Pro 6 ГБ 64 ГБ Желтит,щасветы
Нет вспышки потерт царап по корп и сьеклу Без всего</t>
  </si>
  <si>
    <t>04220003752</t>
  </si>
  <si>
    <t>HONOR Pad X9 8 128 незначительные потертости, царапины коробка, блок питания, документы</t>
  </si>
  <si>
    <t>04220003754</t>
  </si>
  <si>
    <t>, Poco X3Pro 8 ГБ 256 ГБ Незначительные потертости, царапины Без зу</t>
  </si>
  <si>
    <t>04220003755</t>
  </si>
  <si>
    <t>, Apple iPhone 13 Pro  256 ГБ На защитном экране трещины, маленький скол угла. Потёртости, Царапины. Без зу</t>
  </si>
  <si>
    <t>04220003803</t>
  </si>
  <si>
    <t>, Apple iPhone 14 Pro Max  256 ГБ Разбито защита Чехол</t>
  </si>
  <si>
    <t>04220003814</t>
  </si>
  <si>
    <t>, Nikon D3100 Царап грязный экран
Фотик разряден пишет что не проверить тк разряден
Можно оценить если сможем проверить? Nikon DX  AF-S Nikkor 18-55 mm Зу</t>
  </si>
  <si>
    <t>04220003881</t>
  </si>
  <si>
    <t>, Honor Honor watch gs pro 715 KAN-B39 48mm Затертости , слеза краска сверху Коробка, зу</t>
  </si>
  <si>
    <t>04220004077</t>
  </si>
  <si>
    <t>, Apple iPhone 12  128 ГБ Мелк потерт без всего</t>
  </si>
  <si>
    <t>04220004085</t>
  </si>
  <si>
    <t>Состояние: Отличное, Nintendo Switch Oled HEG-001 128 Нет Полная
Станция зу
Провода
Коробка 
ОНА НОВАЯ НЕ АКТИВИРОВПНА</t>
  </si>
  <si>
    <t>Ломбард №426; г. Санкт-Петербург, ул. Димитрова, 11/67, лит. А, пом. 31Н</t>
  </si>
  <si>
    <t>04260003433</t>
  </si>
  <si>
    <t>Huawei FreeButs 5i T0014 Nebula Коробка, провод з/у, доп.амбушюры, чек от 24.11.24</t>
  </si>
  <si>
    <t>04260003895</t>
  </si>
  <si>
    <t>, Honor 10X Lite 4 ГБ 128 ГБ Царапины Без зу</t>
  </si>
  <si>
    <t>04260003922</t>
  </si>
  <si>
    <t>Состояние: Удовлетворительное, Xiaomi Redmi watch 3 40 Мелкие царапины на стекле Зу</t>
  </si>
  <si>
    <t>04260003929</t>
  </si>
  <si>
    <t>, realme Note 60 4 ГБ 128 ГБ Царапины Без зу</t>
  </si>
  <si>
    <t>04260003936</t>
  </si>
  <si>
    <t>Состояние: Удовлетворительное, Panasonic HC-VXF990 Потертости царапины, без карты памяти 25x i. ZOOM З/у</t>
  </si>
  <si>
    <t>04260003940</t>
  </si>
  <si>
    <t>, Samsung Galaxy A22 4 ГБ 64 ГБ Потертости царапины на задней крышке глубокая трещина грязь Без з/у</t>
  </si>
  <si>
    <t>04260003966</t>
  </si>
  <si>
    <t>, OPPO Reno 14 F5 G 8 ГБ 256 ГБ Потёртости царапины следы эксплуатации Коробка, з/у чехол</t>
  </si>
  <si>
    <t>Ломбард №441; г. Санкт-Петербург, ул. Наличная, д. 49 лит. А ,п.34Н</t>
  </si>
  <si>
    <t>04410005175</t>
  </si>
  <si>
    <t>Samsung Galaxy Tab S3 9.7 SM-T825(2017) 4 32 скол на правом нижнем углу,потертости чехол</t>
  </si>
  <si>
    <t>04410005217</t>
  </si>
  <si>
    <t>, Sony WH- CH520 Коробка, провод Состояние нового</t>
  </si>
  <si>
    <t>, Sony WH-CH520 Нет нмчего Состояние нового. Звучание хорошее</t>
  </si>
  <si>
    <t>04410005271</t>
  </si>
  <si>
    <t>, Samsung Galaxy A51 4 ГБ 64 ГБ Царапины, грязь, потёртости, трещина на защите Нет</t>
  </si>
  <si>
    <t>04410005300</t>
  </si>
  <si>
    <t>Состояние: Удовлетворительное, Logitetech G435 Нет Следы эксплуатации, ткань немного щапачкана</t>
  </si>
  <si>
    <t>04410005308</t>
  </si>
  <si>
    <t>, Apple iPhone 11 Pro  64 ГБ Царапины, замена акб,. Трешина на стекле камеры Без всего</t>
  </si>
  <si>
    <t>04410005517</t>
  </si>
  <si>
    <t>, TECNO Camon 30 5G 12 ГБ 512 ГБ Потёртости царапины,  облезла краска Без комплекта</t>
  </si>
  <si>
    <t>04410005571</t>
  </si>
  <si>
    <t>; Состояние: Хорошее, Apple iPad (9-го поколения) (2021)  64 ГБ</t>
  </si>
  <si>
    <t>04410005584</t>
  </si>
  <si>
    <t>Samsung Galaxy Tab S11 ultra 12 ГБ 256 ГБ Нету</t>
  </si>
  <si>
    <t>Ломбард №445; г. Санкт-Петербург, пр. Каменноостровский, д. 39, литера А, п. 3-н</t>
  </si>
  <si>
    <t>04450002991</t>
  </si>
  <si>
    <t>Состояние: Хорошее, JBL Tune 520BT без комплекта мелкие потертости</t>
  </si>
  <si>
    <t>04450003072</t>
  </si>
  <si>
    <t>, realme GT Neo 3 12 ГБ 256 ГБ Мелкие царапины на экране, потёртости корпуса Нет зу</t>
  </si>
  <si>
    <t>04450003095</t>
  </si>
  <si>
    <t>, TECNO Spark go 2 4 ГБ 128 ГБ Мелкие царапины на экране, потёртости корпуса Нет зу</t>
  </si>
  <si>
    <t>04450003112</t>
  </si>
  <si>
    <t>Huawei Nova13i 8 128 мелкие потертости чехол, без зу</t>
  </si>
  <si>
    <t>Ломбард №465; г. Санкт-Петербург, ул. Парголовская, д. 7, литера Н, пом. 22-Н</t>
  </si>
  <si>
    <t>04650002973</t>
  </si>
  <si>
    <t>Тип видеоадаптера: Встроенный+Дискретный, ASUS  X540L Трещины на корпусе, царапина на экране, аккумулятор не держит (работает только с зу) Зу, сумка Intel Core i3  5005U 256 4  Intel  Graphics 5500</t>
  </si>
  <si>
    <t>04650003162</t>
  </si>
  <si>
    <t>У вас есть возможность проверить в режиме игры?: Да, Sony PlayStation4, CUH-1216A Кабель питания, HDMI, 2 джойстика Следы эксплуатации, мелкие царапины и потёртости</t>
  </si>
  <si>
    <t>04650003262</t>
  </si>
  <si>
    <t>, Apple iPhone 12 Pro Max  128 ГБ Следы эксплуатации Чехол, без зу</t>
  </si>
  <si>
    <t>04650003308</t>
  </si>
  <si>
    <t>Производитель: АК Атом, Укажите комплектацию: Перфоратор, аккумулятор, Недостатки: Потёртости, царапины, строительная пыль</t>
  </si>
  <si>
    <t>Производитель: КМ Атом, Укажите комплектацию: УШМ, аккумулятора, зу, Недостатки: Строительная пыль, царапины, потёртости</t>
  </si>
  <si>
    <t>04650003413</t>
  </si>
  <si>
    <t>, Xiaomi Redmi A3 4 ГБ 128 ГБ Следы эксплуатации,  коробка с масляный пятном, зу грязное Коробка зу</t>
  </si>
  <si>
    <t>04650003427</t>
  </si>
  <si>
    <t>, Samsung Galaxy Watch6 Classic SM-R960 47mm Следы эксплуатации Коробка зу</t>
  </si>
  <si>
    <t>04650003439</t>
  </si>
  <si>
    <t>Состояние: Хорошее, D&amp;K DA-1473201 Смеситель лейка крепление шланг прокладки коробка</t>
  </si>
  <si>
    <t>Состояние: Хорошее, ROSSINKA B35-30 Коробка инструкция душевой шланг крепление переходники прокладки</t>
  </si>
  <si>
    <t>Состояние: Хорошее, FUBAG P35 Кейс инструкция Проверить не могу скоб нет в комплекте</t>
  </si>
  <si>
    <t>04650003447</t>
  </si>
  <si>
    <t>Икона 1838 год 84 пр СС  , киот , на иконе повреждения царап</t>
  </si>
  <si>
    <t>04650003452</t>
  </si>
  <si>
    <t>, realme Note 60x 3 ГБ 64 ГБ Царапины на экране, царапины на корпусе, небольшой прогиб корпуса Без всего, без зу</t>
  </si>
  <si>
    <t>04650003462</t>
  </si>
  <si>
    <t>Состояние: Хорошее, Sony Alpha ILCE-7M3 Следы эксплуатации, потёртости, царапины Да, Sony SEL35F18F Кабель, сумка, объектив</t>
  </si>
  <si>
    <t>04650003467</t>
  </si>
  <si>
    <t>, OnePlus7 GM1900 8 ГБ 256 ГБ Царапины на корпусе на стекле Без комплекта без зу</t>
  </si>
  <si>
    <t>04650003475</t>
  </si>
  <si>
    <t>Состояние: Удовлетворительное, Атом CD-181 Сильно грязный потертости царапины Зу 2 доп аккумулятора</t>
  </si>
  <si>
    <t>04650003477</t>
  </si>
  <si>
    <t>Радио- (видео-) няня</t>
  </si>
  <si>
    <t>Device RD950 Следы эксплуатации Батарейки</t>
  </si>
  <si>
    <t>МФУ</t>
  </si>
  <si>
    <t>Samsung XpressM207W Следы эксплуатации,  пятна откраски Провод к комп., провод питания</t>
  </si>
  <si>
    <t>04650003582</t>
  </si>
  <si>
    <t>, TECNO CAMON 40 Pro 5G 8 ГБ 256 ГБ царапины у зарядки и на экране Чехол без зу</t>
  </si>
  <si>
    <t>04650003585</t>
  </si>
  <si>
    <t>, Apple iPhone 13 mini  256 ГБ Следы эксплуатации, мелкие царапины и потёртости Без всего, без зу</t>
  </si>
  <si>
    <t>04650003662</t>
  </si>
  <si>
    <t>, Infinix Smart 8 8 ГБ 128 ГБ Следы эксплуатации царапины на защитной пленке Коробка без зу</t>
  </si>
  <si>
    <t>Ломбард №474; г. Санкт-Петербург, ул. Марата, д. 4, литера А, пом. 13-Н</t>
  </si>
  <si>
    <t>04740000630</t>
  </si>
  <si>
    <t>04740001942</t>
  </si>
  <si>
    <t>Скрипка Hofner  грязн поцарп потерт кейс смычок порожек</t>
  </si>
  <si>
    <t>04740004065</t>
  </si>
  <si>
    <t>, Makita df333d  кейс зу</t>
  </si>
  <si>
    <t>04740004251</t>
  </si>
  <si>
    <t>, Apple  macBook Pro Небольшие потертости Зу Apple  M1 Pro  16</t>
  </si>
  <si>
    <t>04740003603</t>
  </si>
  <si>
    <t>04740004406</t>
  </si>
  <si>
    <t>, яндекс 00020 Много пыэли, затерт ткать, грязь зу</t>
  </si>
  <si>
    <t>04740003376</t>
  </si>
  <si>
    <t>04740004408</t>
  </si>
  <si>
    <t>HP  255G6  з/у, сумка</t>
  </si>
  <si>
    <t>04740004651</t>
  </si>
  <si>
    <t>, TECNO Spark Go 1 4 ГБ 128 ГБ грязь царп гнут корпус 0</t>
  </si>
  <si>
    <t>04740004663</t>
  </si>
  <si>
    <t>, Apple iPhone 16 Pro  128 ГБ грязь лубок царп на экране и корпусе потерт 0</t>
  </si>
  <si>
    <t>04740004665</t>
  </si>
  <si>
    <t>Состояние: Удовлетворительное, xiaomi wpb15pdzm 0 глубок царп  сбиты углы</t>
  </si>
  <si>
    <t>04740004672</t>
  </si>
  <si>
    <t>, TECNO Spark Go 1 3 ГБ 64 ГБ Вмятина на углу корпуса Без зу</t>
  </si>
  <si>
    <t>04740004699</t>
  </si>
  <si>
    <t>, Infinix Hot 30 8 ГБ 128 ГБ динамики забиты грязью глуб царп сбиты углы 0</t>
  </si>
  <si>
    <t>04740004717</t>
  </si>
  <si>
    <t>Xiaomi Redmi 13C 8 ГБ 256 ГБ Мелкие царапинки Сил.чехол</t>
  </si>
  <si>
    <t>04740004841</t>
  </si>
  <si>
    <t>, Samsung Galaxy A16 4 ГБ 128 ГБ Мелкие царапинки, потёртости Нет ничего</t>
  </si>
  <si>
    <t>04740004882</t>
  </si>
  <si>
    <t>, TECNO Spark Go 1 4 ГБ 64 ГБ царп гнут корпус сколы на корпусе 0</t>
  </si>
  <si>
    <t>Ломбард №475; Ленинградская обл, Всеволожский р-н, пос. Мурино, Привокзальная площадь, д. б/н</t>
  </si>
  <si>
    <t>04750006360</t>
  </si>
  <si>
    <t>Jbl XTREME 3 Очень грязный, царапины Зу</t>
  </si>
  <si>
    <t>04750007583</t>
  </si>
  <si>
    <t>Apple iPhone 14 Pro Max  256 Потертости  коробка провод</t>
  </si>
  <si>
    <t>04750008522</t>
  </si>
  <si>
    <t>Sony PlayStation 5 Slim (CFI-2000 ) 1тб потертости царапины кор провода 2-а джойстика</t>
  </si>
  <si>
    <t>04750008548</t>
  </si>
  <si>
    <t>Infinix  SMART 10 Plus 8 128 потертости царапины зу</t>
  </si>
  <si>
    <t>04750008589</t>
  </si>
  <si>
    <t>Xiaomi Redmi Pad SE  8+4 256 потертости царапины кор адаптер чехол</t>
  </si>
  <si>
    <t>04750008620</t>
  </si>
  <si>
    <t>Samsung Galaxy A55 8 128 потертости царапины</t>
  </si>
  <si>
    <t>04750008651</t>
  </si>
  <si>
    <t>APPLE  A2337  потертости царапины надлом внешнего кабеля небол на зу зу   М1 256 8</t>
  </si>
  <si>
    <t>04750008715</t>
  </si>
  <si>
    <t>Состояние: Хорошее, Aming  Rush Потертости Коробка, зу , мышь Intel Core i5  12450H 1024 16  Nvidia  GeForce RTX3050</t>
  </si>
  <si>
    <t>04750009004</t>
  </si>
  <si>
    <t>Samsung Galaxy M12 4 64 потертости царапины пленка  местами повреждена  коробка зу</t>
  </si>
  <si>
    <t>04750009015</t>
  </si>
  <si>
    <t>Состояние: Хорошее, Sony Ps slim 4 1 tb Джойстик в какой то смазке или масле Провода , джойстик</t>
  </si>
  <si>
    <t>04750009081</t>
  </si>
  <si>
    <t>, Huawei Pura 70 12 ГБ 512 ГБ Потертости Чехол</t>
  </si>
  <si>
    <t>04750009088</t>
  </si>
  <si>
    <t>, Apple iPhone 13  128 ГБ Сколы, плохо входит зарядка Коробка, провод не оригинал</t>
  </si>
  <si>
    <t>04750009091</t>
  </si>
  <si>
    <t>, Apple iPhone Xs  64 ГБ Старый АКБ, выгорание экрана, глубокие царапины на экрвне Без комплекта</t>
  </si>
  <si>
    <t>Ломбард №506; Ленинградская обл., г. Кудрово, Европейский пр., д. 14 к.6, п. 133-Н</t>
  </si>
  <si>
    <t>05060003788</t>
  </si>
  <si>
    <t>05060003839</t>
  </si>
  <si>
    <t>Производитель: Oktava, Укажите код модели: MK-519, Серийный номер: -, Укажите комплектацию: Коробка, Недостатки: Без следов эксплуатации</t>
  </si>
  <si>
    <t>Пианино</t>
  </si>
  <si>
    <t>Производитель: Akai, Укажите код модели: MPK mini, Серийный номер: -, Укажите комплектацию: Коробка, Недостатки: Без следов эксплуатации</t>
  </si>
  <si>
    <t>05060004010</t>
  </si>
  <si>
    <t>, Eigen MW-FBE900i Мелкие царапинки, потертости небольшая справой стороны корпуса Без комплекта</t>
  </si>
  <si>
    <t>05060004031</t>
  </si>
  <si>
    <t>JBL 305P MKll сетевой провод  потертости, царапины</t>
  </si>
  <si>
    <t>JBL 305P MKll сетевой провод потертости, царапины</t>
  </si>
  <si>
    <t>05060004032</t>
  </si>
  <si>
    <t>ARTURIA MINIFUSE 4 - звуковая карта  коробка, сетевой провод, USB, док-ты</t>
  </si>
  <si>
    <t>05060004124</t>
  </si>
  <si>
    <t>, Haier 43 Smart  TV S2 Потертости, пыль Пульт, ножки, коробка</t>
  </si>
  <si>
    <t>05060004152</t>
  </si>
  <si>
    <t>Производитель: Apple, Модель (или ref. номер): 9a 2980, Укажите комплектацию: Коробка,зу, Недостатки: Потертости мелкие</t>
  </si>
  <si>
    <t>05060004284</t>
  </si>
  <si>
    <t>, Xiaomi A24i пыль, потертости Коробка, документы, блок питания, провод hdmi</t>
  </si>
  <si>
    <t>05060004285</t>
  </si>
  <si>
    <t>, Яндекс YNDX-00020  Коробка</t>
  </si>
  <si>
    <t>05060004358</t>
  </si>
  <si>
    <t>Производитель: Maono, Серийный номер: 6972237680178, Укажите комплектацию: Коробка, инструкция, шнур, Недостатки: Наклейка немного отклеилась</t>
  </si>
  <si>
    <t>05060004361</t>
  </si>
  <si>
    <t>Точильный станок</t>
  </si>
  <si>
    <t>Производитель: Einhell, Серийный номер: 2020/09/EB072702, Укажите комплектацию: Нет, Недостатки: Потертости, царапины, опилки</t>
  </si>
  <si>
    <t>Производитель: Einhell, Серийный номер: 2019/06/KWB-19-2017-R, Укажите комплектацию: Нет, Недостатки: В опилках, потертости, царапины
Пила ленточная</t>
  </si>
  <si>
    <t>05060004387</t>
  </si>
  <si>
    <t>Производитель: On-Stage, Укажите код модели: OS SMS4500-P DSKTP MNTR STNDS, Серийный номер: 13398001119, Укажите комплектацию: 2 стойки, Недостатки: Потертости, царапины</t>
  </si>
  <si>
    <t>05060004528</t>
  </si>
  <si>
    <t>, Huawei Pura 70 Ultra 16 ГБ 512 ГБ Царапины на экране, небольшие потертости корпуса Чехол,зу</t>
  </si>
  <si>
    <t>05060004583</t>
  </si>
  <si>
    <t>Состояние: Удовлетворительное, Red solution RV-RL6100S Волосы, пыль, потертости, влажная тряпка Коробка, инструкуия, з/у, чек, пульт</t>
  </si>
  <si>
    <t>05060004702</t>
  </si>
  <si>
    <t>, Samsung Galaxy A51 4 ГБ 64 ГБ Потертости корпуса Без зу</t>
  </si>
  <si>
    <t>; Состояние: Хорошее, ThinkPad  T480 Потертости, мелкие царапинки, следы от наклеек на корпусе Наушники, зарядное устройство, коврик для мышки, мышь проводная Intel Core i5  7300 CPU 256 8  Intel  HD Graphics 620</t>
  </si>
  <si>
    <t>05060004761</t>
  </si>
  <si>
    <t>, Apple iPhone X  64 ГБ Потёртости,мелкие царапины Нет</t>
  </si>
  <si>
    <t>05060004785</t>
  </si>
  <si>
    <t>Состояние: Хорошее, Nintendo HAc-015 Джойстики,подставка, hdmi кабель,провод питания,коробка,переходник для игры Потертости</t>
  </si>
  <si>
    <t>05060004787</t>
  </si>
  <si>
    <t>, Huawei Pura 70 12 ГБ 256 ГБ Потертости,корпус как будто вскрывался,следы клея Чехол</t>
  </si>
  <si>
    <t>Ломбард №517; г. Санкт-Петербург. ул. Генерала Симоняка, д.1 лит.А, п. 10-Н</t>
  </si>
  <si>
    <t>05170004211</t>
  </si>
  <si>
    <t>Blackview BV9300 12 ГБ 256 ГБ Следы эксплуатации Без щу</t>
  </si>
  <si>
    <t>05170004482</t>
  </si>
  <si>
    <t>, Sport tech X7 45 Долго заряжается Коробка, зу</t>
  </si>
  <si>
    <t>05170004553</t>
  </si>
  <si>
    <t>Packard beii  reaimi потертости царап следы использзования документы зу     128</t>
  </si>
  <si>
    <t>05170005020</t>
  </si>
  <si>
    <t>Dell  P66F сколы трещины на корпусе разбита крышка следы экспл оптерости царапины  зу сумка  Intel   core 7  16</t>
  </si>
  <si>
    <t>05170005092</t>
  </si>
  <si>
    <t>, Витязь 43LF1207 Нет коробки Ножки, пульт</t>
  </si>
  <si>
    <t>05170005156</t>
  </si>
  <si>
    <t>, TECNO Pova 5 8 256 Потертости, сколы сбоку на защитном стекле, царапины, следы испрльзования, Чехол, без зу</t>
  </si>
  <si>
    <t>05170005178</t>
  </si>
  <si>
    <t>, Lenter OS-864 Нет зу Без зу</t>
  </si>
  <si>
    <t>05170005238</t>
  </si>
  <si>
    <t>, BLACK+DECKER Cd601 Следы экспл Провод питания</t>
  </si>
  <si>
    <t>05170005413</t>
  </si>
  <si>
    <t>05170005436</t>
  </si>
  <si>
    <t>Тип видеоадаптера: Встроенный, ARDOR Gaming  NP5x_60_7x_RNx1 Следы эксплуатации, и нет зу Без зу Intel Core i5  12450H 512 16  Nvidia  GeForce RTX 3050  6GB</t>
  </si>
  <si>
    <t>05170005542</t>
  </si>
  <si>
    <t>Комплектация (есть ли чек и гарантия): Коробка, Huawei MatePad SE 11 4 ГБ 128 ГБ Новый, в упаковке, еще запечатан</t>
  </si>
  <si>
    <t>05170005860</t>
  </si>
  <si>
    <t>Кухонный комбайн</t>
  </si>
  <si>
    <t>, HYUNDAI HYM-S8591 Отсутствуют Коробка, документы, насадки</t>
  </si>
  <si>
    <t>05170005872</t>
  </si>
  <si>
    <t>, JVC LT-24M485 Потертости, нет ножек и  пульта Без ножек, без пульта</t>
  </si>
  <si>
    <t>05170005879</t>
  </si>
  <si>
    <t>Состояние: Удовлетворительное, Pecanta Пк-30-900к Следы пыль незначительные Кейс инструкция паспорт насадки</t>
  </si>
  <si>
    <t>05170005892</t>
  </si>
  <si>
    <t>, Xiaomi Mi 9T 6 ГБ 64 ГБ Легкие следы Без</t>
  </si>
  <si>
    <t>05170005909</t>
  </si>
  <si>
    <t>Сообщите вес каждого наушника и зарядного кейса: 3.99,4.04,33.04, Xiaomi Redmi Buds T110 Коробка, чек, документы Следы использования внутри наушников</t>
  </si>
  <si>
    <t>05170005917</t>
  </si>
  <si>
    <t>, TECNO Spark Go 2024 4 ГБ 64 ГБ Есть мелкие царапины возле зу, следы эксплуатации Чехол, без зу</t>
  </si>
  <si>
    <t>05170005932</t>
  </si>
  <si>
    <t>, Leika Disto d210 Потерт следы экспл Без</t>
  </si>
  <si>
    <t>05170005949</t>
  </si>
  <si>
    <t>, Honor 10 Lite 3 ГБ 32 ГБ Потертости, в динамике грязь, следы эксплуатации Чехол, без зу</t>
  </si>
  <si>
    <t>05170005962</t>
  </si>
  <si>
    <t>Состояние: Удовлетворительное, JBL AIR6 Кейс, без зу Потертости, следы эксплуатации, амбушлры разных размеров</t>
  </si>
  <si>
    <t>05170005969</t>
  </si>
  <si>
    <t>Состояние: Отличное, Supra Tps-3002 Не использовался Короька зу инструкция</t>
  </si>
  <si>
    <t>05170005983</t>
  </si>
  <si>
    <t>, Apple iPhone 16 Pro  256 ГБ Неб следы , экран с защ пленкой Без</t>
  </si>
  <si>
    <t>05170005988</t>
  </si>
  <si>
    <t>, Xiaomi Redmi 14C 8 ГБ 256 ГБ Пленка, легкие потерт Без</t>
  </si>
  <si>
    <t>05170006151</t>
  </si>
  <si>
    <t>, Huawei nova Y72 8 ГБ 256 ГБ Небольшие микро  царап по экрану Коробка зу</t>
  </si>
  <si>
    <t>05170006176</t>
  </si>
  <si>
    <t>Бронзовая статуэтка на подставке высота 12 см</t>
  </si>
  <si>
    <t>05170006219</t>
  </si>
  <si>
    <t>, Apple iPhone X  256 ГБ Есть не большие следы эксплуатации, потертости по корпусу тел Без зу, без чехла</t>
  </si>
  <si>
    <t>05170006253</t>
  </si>
  <si>
    <t>часы карманные из металла розового цвета</t>
  </si>
  <si>
    <t>05170006257</t>
  </si>
  <si>
    <t>, Xiaomi Mi 11 Lite 16 ГБ 128 ГБ не работает камера, кнопка включения нажимается только при надавливании снизу тольео телефон</t>
  </si>
  <si>
    <t>05170006260</t>
  </si>
  <si>
    <t>, Xiaomi Redmi 7A 2 ГБ 32 ГБ Экран без царап , микро потерт по корпусу
Медленно грузит ! Без</t>
  </si>
  <si>
    <t>05170006265</t>
  </si>
  <si>
    <t>, Xiaomi Redmi 14C 8 ГБ 256 ГБ Микро , экран в пленке Без</t>
  </si>
  <si>
    <t>05170006290</t>
  </si>
  <si>
    <t>Состояние: Удовлетворительное, Scarlett SC-VC80B63 Погнутв рожки у розетки, не вкл, если сделают сколько можем предложить 1 насадка, шланг</t>
  </si>
  <si>
    <t>Ломбард №533 г. Санкт-Петербург, ул. Караваевская, д. 24, корп 1 лит Б</t>
  </si>
  <si>
    <t>05330005381</t>
  </si>
  <si>
    <t>Samsung Galaxy A56 5G 8 128  провод зу, док-ты</t>
  </si>
  <si>
    <t>05330005415</t>
  </si>
  <si>
    <t>Состояние: Удовлетворительное, Apple Watch series 5 44 Очень Царапанный и потерт корпус, на экране пленка Провод зу</t>
  </si>
  <si>
    <t>05330005438</t>
  </si>
  <si>
    <t>, Apple Series 9 45 Мелк Царап по корпусу и экрану Зу, ремешок розовый металлический</t>
  </si>
  <si>
    <t>05330005457</t>
  </si>
  <si>
    <t>; Состояние: Хорошее, Lenovo  80 YN Мелк Царап, потерт, загрязнения Зу, коробка AMD A10  9620P RADEON R5 512 12  AMD  Radeon R7 M440</t>
  </si>
  <si>
    <t>05330005490</t>
  </si>
  <si>
    <t>, Apple iPhone 14 Pro  256 ГБ Большой черный пиксель на экране, клиент сказал, что 3 месяца назад само появилось 
Царапанный экран, корпус, потертый корпус Без зу</t>
  </si>
  <si>
    <t>05330005644</t>
  </si>
  <si>
    <t>, TECNO Pova 6 Pro 5G 8 ГБ 256 ГБ Мелк Царап по корп и экрану, потерт Без зу</t>
  </si>
  <si>
    <t>05330005674</t>
  </si>
  <si>
    <t>Состояние: Удовлетворительное, Marshall WILLEN Небольшие загрязнения, царапины Без комплекта</t>
  </si>
  <si>
    <t>05330005710</t>
  </si>
  <si>
    <t>Apple AirPods 4 Без зу Очень затер кейс, царап, загрязнения</t>
  </si>
  <si>
    <t>05330005718</t>
  </si>
  <si>
    <t>, Samsung Galaxy A32 4 ГБ 64 ГБ Царапанный корпус и потерт, экран в Мелк Царап Без зу</t>
  </si>
  <si>
    <t>05330005753</t>
  </si>
  <si>
    <t>, Honor X7c 8 ГБ 256 ГБ Памят слот сим-карты немного, есть скол по корпусу справа снизу Без зу, чехол</t>
  </si>
  <si>
    <t>93690000962</t>
  </si>
  <si>
    <t>Состояние: Хорошее, Sony PS4 500 гб небольш.следы экспл.: мелкие цар.на корпусе 1 гемпад, провода</t>
  </si>
  <si>
    <t>Ломбард №542; г. Санкт-Петербург, ул. Савушкина, д. 124 к.1 лит. А, п. 62-Н</t>
  </si>
  <si>
    <t>05420004486</t>
  </si>
  <si>
    <t>Makita Td0101 Нет Потёртости царапины грязь покоцан</t>
  </si>
  <si>
    <t>05420005451</t>
  </si>
  <si>
    <t>, Xiaomi Redmi 9C (NFC) 4 ГБ 128 ГБ Потёртости царапины грязь Нет</t>
  </si>
  <si>
    <t>05420005937</t>
  </si>
  <si>
    <t>ложки 3 шт серого металла</t>
  </si>
  <si>
    <t>05420005949</t>
  </si>
  <si>
    <t>, Huawei Nor-b29 - Пыль на ремешке Коробка-зц</t>
  </si>
  <si>
    <t>05420005963</t>
  </si>
  <si>
    <t>Состояние: Удовлетворительное, Другое  Нет Следы эксплуатации, грязь, потертости Ключ, диск</t>
  </si>
  <si>
    <t>Состояние: Удовлетворительное, Спец БПВ-2000 ⁰насадки Потертости по корпусу, соеды эксплуатации, пыль</t>
  </si>
  <si>
    <t>; Состояние: Хорошее, Xerox B205 Потертости по корпусу, небольшие следы эксплуатации Нет</t>
  </si>
  <si>
    <t>05420005968</t>
  </si>
  <si>
    <t>ASUS  VivoBook Следы эксплуатации, потертости по корпусу, нет одной ножки ЗУ Intel Core i5  1035G1 CPU 1024 8  Intel  UHD GRAPHICS</t>
  </si>
  <si>
    <t>05420005994</t>
  </si>
  <si>
    <t>Состояние: Хорошее, Moulinex Ju500 Потерт и царап на корп Коробка, документы</t>
  </si>
  <si>
    <t>05420006001</t>
  </si>
  <si>
    <t>, Apple iPhone 13 Pro  128 ГБ Потерт на корп Чехол, коробка</t>
  </si>
  <si>
    <t>05420006008</t>
  </si>
  <si>
    <t>Состояние: Хорошее, Hotter Hx-1037 Потерт Решетки,миски</t>
  </si>
  <si>
    <t>05420006011</t>
  </si>
  <si>
    <t>; Состояние: Хорошее, Apple iPad Air (5-го поколения) (2022) 8 ГБ 256 ГБ Потерт на корп</t>
  </si>
  <si>
    <t>05420006015</t>
  </si>
  <si>
    <t>, Xiaomi Redmi 10C 3 ГБ 64 ГБ Скол на осн камере, потерт и царап на экране и корпусе Чехол</t>
  </si>
  <si>
    <t>05420006016</t>
  </si>
  <si>
    <t>, Xiaomi Redmi 9T 4 ГБ 64 ГБ Потерт и царап на корпусе и экране, сколы на осн камере Нет</t>
  </si>
  <si>
    <t>05420006033</t>
  </si>
  <si>
    <t>Состояние: Хорошее, Go-find 20 Потерт на корп Нет</t>
  </si>
  <si>
    <t>05420006050</t>
  </si>
  <si>
    <t>Состояние: Удовлетворительное, Другое Zepp Нет Царап на экране , потерт на корп Зу</t>
  </si>
  <si>
    <t>05420006070</t>
  </si>
  <si>
    <t>Состояние: Хорошее, Völkı V2  1.80  3,5mm Потерт и царап небольшие на корпусе Ботинки, палки</t>
  </si>
  <si>
    <t>Состояние: Хорошее, FischerFire 160 Царап на корпусе Палки, ботинки</t>
  </si>
  <si>
    <t>05420006284</t>
  </si>
  <si>
    <t>, Huawei nova Y61 4 ГБ 128 ГБ Потерт Коробка, зу, чехол, чек от 20.11.2024</t>
  </si>
  <si>
    <t>05420006313</t>
  </si>
  <si>
    <t>Монета "10 рублей 1899 г " 8,6 гр</t>
  </si>
  <si>
    <t>Ломбард №543; г. Санкт-Петербург, Бульвар Новаторов, д. 11 литера А, п. 17-н</t>
  </si>
  <si>
    <t>05430003017</t>
  </si>
  <si>
    <t>JBL Flip 5 мелкие потертости коробка</t>
  </si>
  <si>
    <t>05430003151</t>
  </si>
  <si>
    <t>Apple iPhone 11  128 АКБ 75 %, требуется замена, болтики раскрученные, на мой взгляд, хотя клиент утверждает, что ничего не менял. На экране защитное стекло со сколом, готов снять. Потертости по корпусу чехол, без зу</t>
  </si>
  <si>
    <t>05430003240</t>
  </si>
  <si>
    <t>, Apple iPhone 16  128 ГБ не значительные потертости по корпусу
есть эл чек коробка, провод зу</t>
  </si>
  <si>
    <t>05430003252</t>
  </si>
  <si>
    <t>Apple A2478 MKJP3HB/A 45 mm На экране есть как скол и много царапин, но клиент говорит, что это жидкое стекло! когда по сколу проводишь то он не чувствуется. Слезает покрытие по корпусу, ремешок грязноват коробка, доп ремешок, зу провод</t>
  </si>
  <si>
    <t>05430004186</t>
  </si>
  <si>
    <t>, Apple  A2159 MacBook Pro (13,2019) потертости и царапины по корпусу, грязь, следы эксплуатации, экран липкий зу, Intel Core i5   256 8  Intel  Iris Plus Graphics 645</t>
  </si>
  <si>
    <t>05430004222</t>
  </si>
  <si>
    <t>, Samsung Galaxy A13 4 ГБ 64 ГБ Царапины, потертости, следы клея местами Без комплекта</t>
  </si>
  <si>
    <t>05430004226</t>
  </si>
  <si>
    <t>, ЯНДЕКС станция YNDX-00025 потертости по корпусу зу не родная</t>
  </si>
  <si>
    <t>05430004237</t>
  </si>
  <si>
    <t>; Состояние: Удовлетворительное, Huawei MatePad 12 X 8 ГБ 256 ГБ сильно гнутый посередине, потертости, царапины</t>
  </si>
  <si>
    <t>05430004244</t>
  </si>
  <si>
    <t>Состояние: Хорошее, Яндекс Станция Лайт YNDX-00025 потертости по корпусу коробка, зу</t>
  </si>
  <si>
    <t>05430004255</t>
  </si>
  <si>
    <t>Состояние: Удовлетворительное, Xiaomi Redmi PB200L7M  20000 mAh  по корпусу очень много царапин без комплекта, без зу</t>
  </si>
  <si>
    <t>05430004261</t>
  </si>
  <si>
    <t>, Xiaomi Poco X5 Pro 6 ГБ 128 ГБ потертости по корпусу, царапины, защитная пленка в царапинах коробка</t>
  </si>
  <si>
    <t>05430004275</t>
  </si>
  <si>
    <t>, Xiaomi Redmi 9C (NFC) 2 ГБ 32 ГБ потертости, желтит внизу экрана, скол на слоте сим карты без зу</t>
  </si>
  <si>
    <t>05430004281</t>
  </si>
  <si>
    <t>Состояние: Плохое, Xiaomi L32M6-6ARG НЕТ возможности проверить без пульта, потертости по корпусу, пыль Без комплекта, БЕЗ ПУЛЬТА!!!</t>
  </si>
  <si>
    <t>05430003946</t>
  </si>
  <si>
    <t>05430004290</t>
  </si>
  <si>
    <t>, Apple iPhone 11  64 ГБ царапины на корпусе и на экране, акб 73% без комплекта</t>
  </si>
  <si>
    <t>05430004299</t>
  </si>
  <si>
    <t>Состояние: Удовлетворительное, JBL Gharge 5 Коробка Потертости по корпусу</t>
  </si>
  <si>
    <t>05430004311</t>
  </si>
  <si>
    <t>Состояние: Хорошее, DEKO DKCS1500-160 потертости, царапины, на подошве сошла краска без комплекта</t>
  </si>
  <si>
    <t>05430004442</t>
  </si>
  <si>
    <t>Состояние: Хорошее, Колонка Салют SBER BOOM MINI 2 SBDV-00250 потертости по корпусу коробка, зу</t>
  </si>
  <si>
    <t>05430004522</t>
  </si>
  <si>
    <t>Вилка из металла серого цвета, вес 33,04 , есть загрязнения и потертости</t>
  </si>
  <si>
    <t>Ломбард №544; г. Санкт-Петербург, ул. Ярослава Гашека, д.4 корп. 1 литера А п. 65-н</t>
  </si>
  <si>
    <t>05440003030</t>
  </si>
  <si>
    <t>, OPPO A5 Pro 8 ГБ 256 ГБ Мелкие царапины Без</t>
  </si>
  <si>
    <t>05440003139</t>
  </si>
  <si>
    <t>, ASUS  FX95D Царапины корпус Зу AMD Ryzen 7  3750 H 512 16  Nvidia  GeForce GTX 1650</t>
  </si>
  <si>
    <t>05440003347</t>
  </si>
  <si>
    <t>Состояние: Плохое, Hilda 4d Сломана ножка, видимые следы использования Зу</t>
  </si>
  <si>
    <t>05440003348</t>
  </si>
  <si>
    <t>, Xiaomi Poco X3 8 ГБ 256 ГБ Царапины на экране и корпусе, потёртости грязь в динамиках Чехол</t>
  </si>
  <si>
    <t>05440003365</t>
  </si>
  <si>
    <t>Состояние: Плохое, Econ ECO-B12405 Потёртости, царапины корпуса, царапины на нагревательной пластине, следы нагара или ржавчины Без</t>
  </si>
  <si>
    <t>05440003439</t>
  </si>
  <si>
    <t>; Состояние: Удовлетворительное, Samsung Galaxy Tab A9 4 ГБ 64 ГБ Глубокие царапины экрвн</t>
  </si>
  <si>
    <t>05440003440</t>
  </si>
  <si>
    <t>, realme Note 60 6 ГБ 128 ГБ Мелкие царапины и потёртости Без</t>
  </si>
  <si>
    <t>05440003448</t>
  </si>
  <si>
    <t>, Samsung Galaxy S20 FE 6 ГБ 128 ГБ Небольшие фантомные значки на дисплее. Разбита защита. Корпус без дефектов Чехол без зу</t>
  </si>
  <si>
    <t>05440003456</t>
  </si>
  <si>
    <t>, TECNO Spark Go 2023 3 ГБ 64 ГБ Изогнут корпус, сколы на корпусе, царапины на экране и корпусе и камере, Без</t>
  </si>
  <si>
    <t>Состояние: Удовлетворительное, Яндекс Лайт 2 yndx 00026 Царапины потертости, наклейки Шнур зу</t>
  </si>
  <si>
    <t>Ломбард №548; г. Санкт-Петербург, пос. Шушары, Вилеровский пер., д. 6, п. 52-Н</t>
  </si>
  <si>
    <t>05480004379</t>
  </si>
  <si>
    <t>Apple iPhone 14 Pro Max  128 ГБ Царапины мелкие на экране и корпусе Зу, чехол</t>
  </si>
  <si>
    <t>05480004897</t>
  </si>
  <si>
    <t>, Apple iPhone 15 Pro  256 ГБ Царапины. Аккум 85% Чехол без зу</t>
  </si>
  <si>
    <t>05480005849</t>
  </si>
  <si>
    <t>, ARDOR  V27xRNx Сломан штекер зарядки, но работает. Сумка зу Intel Core i7  13620H 1tb 16  Nvidia  GeForce Rtx 4060 laptop gpu</t>
  </si>
  <si>
    <t>05480005984</t>
  </si>
  <si>
    <t>, Trio-Diamond 400068 Без комплеета</t>
  </si>
  <si>
    <t>05480006015</t>
  </si>
  <si>
    <t>; Состояние: Хорошее, Lenovo  82JW Потёртости, царапины мелкие, грязь Зу AMD Ryzen 5  5600H 512 32  Nvidia  GeForce RTX 3050</t>
  </si>
  <si>
    <t>05480006045</t>
  </si>
  <si>
    <t>, TECNO Spark Go 1 3 ГБ 64 ГБ Мелкие царапины, потёртости Чехол, без зу</t>
  </si>
  <si>
    <t>05480006052</t>
  </si>
  <si>
    <t>, Xiaomi Poco C40 3 ГБ 32 ГБ Потёртости корпуса, мелкие царапины Без</t>
  </si>
  <si>
    <t>05480006076</t>
  </si>
  <si>
    <t>Состояние: Хорошее, FЛNTE FT-D38 Есть потёртости, мелкие царапины Без</t>
  </si>
  <si>
    <t>05480006098</t>
  </si>
  <si>
    <t>, Infinix Smart 9 4 ГБ 128 ГБ Разбита защита , если устроит оценка, обещает снять Без з/у</t>
  </si>
  <si>
    <t>05480006243</t>
  </si>
  <si>
    <t>, TECNO Camon 40 8 ГБ 256 ГБ Потёртости Чехол</t>
  </si>
  <si>
    <t>05480006361</t>
  </si>
  <si>
    <t>, Samsung Galaxy A12 3 ГБ 32 ГБ Царапины на корпусе и экране -</t>
  </si>
  <si>
    <t>93690000124</t>
  </si>
  <si>
    <t>; Серийный номер: 601536222721,  XBOX Series s 512 Пыль Джостик,провода,коробка</t>
  </si>
  <si>
    <t>Ломбард №551; Ленинградская обл., г. Мурино, пр. Авиаторов Балтики, д. 7, п. 38-Н</t>
  </si>
  <si>
    <t>05510003015</t>
  </si>
  <si>
    <t>км атом CD-181/2  чехол зу 2 акб</t>
  </si>
  <si>
    <t>05510003016</t>
  </si>
  <si>
    <t>Dexell NLC02  коробка подставка</t>
  </si>
  <si>
    <t>05510003017</t>
  </si>
  <si>
    <t>KM RH-801</t>
  </si>
  <si>
    <t>05510003910</t>
  </si>
  <si>
    <t>КМ AG-711/125,  сумка</t>
  </si>
  <si>
    <t>05510004770</t>
  </si>
  <si>
    <t>Polaris PGS 2230VA коробка</t>
  </si>
  <si>
    <t>05510004975</t>
  </si>
  <si>
    <t>SJCAM SJ8 Dual Screen Нет Потертости и мелкие царапины по корпусу Только кейс без ЗУ</t>
  </si>
  <si>
    <t>05510005037</t>
  </si>
  <si>
    <t>Neolaser  NAG-1100-R грязь потертости</t>
  </si>
  <si>
    <t>05510005182</t>
  </si>
  <si>
    <t>Apple iPad 3 поколения А2377  128 потер короб провод ЗУ</t>
  </si>
  <si>
    <t>05510005367</t>
  </si>
  <si>
    <t>интерскол п 600 эр потертости сколы царапины</t>
  </si>
  <si>
    <t>05510005389</t>
  </si>
  <si>
    <t>iPhone 13 4 128 потертости</t>
  </si>
  <si>
    <t>05510005447</t>
  </si>
  <si>
    <t>МВ-4042G/01 следы экспуатации потерт пыль</t>
  </si>
  <si>
    <t>05510005456</t>
  </si>
  <si>
    <t>Aceline G-3000 потертости царапины мокрый</t>
  </si>
  <si>
    <t>05510005459</t>
  </si>
  <si>
    <t>ASUS  x512da потертости царапины зу  AMD Ryzen 3 3200U 256 12  AMD   Radeon Vega 3</t>
  </si>
  <si>
    <t>05510005463</t>
  </si>
  <si>
    <t>Lenovo  V130-15IKB потертости з у  Intel Core i5 7200 920 8   Intel 620</t>
  </si>
  <si>
    <t>05510005490</t>
  </si>
  <si>
    <t>ДУ-500 потерт  коробка ручка ограничитель доки</t>
  </si>
  <si>
    <t>05510005528</t>
  </si>
  <si>
    <t>, TECNO Pova 6 Pro 5G 12 ГБ 256 ГБ Потертости Коробка провод и блок ЗУ чехол</t>
  </si>
  <si>
    <t>05510005531</t>
  </si>
  <si>
    <t>, Samsung Galaxy A16 8 ГБ 256 ГБ Потертости Коробка без ЗУ</t>
  </si>
  <si>
    <t>05510005544</t>
  </si>
  <si>
    <t>Nikon D40x потертости пыль 30 470 сумка з у</t>
  </si>
  <si>
    <t>05510005545</t>
  </si>
  <si>
    <t>Acer Nitro 5 AN515-55-5269 груб царап потерт небол трещ возле клавы сумка ЗУ  Intel Core i5 10300Н 512+1000    16 Встроенный+Дискретный Nvidia GeForce RTX 3060</t>
  </si>
  <si>
    <t>05510005560</t>
  </si>
  <si>
    <t>Makita  hr 2611ft потертости царапины строит пыль кейс ручка +2-а доп патрона и один из них плохо работает</t>
  </si>
  <si>
    <t>05510005584</t>
  </si>
  <si>
    <t>Apple iPhone 13 Pro Max  128 ГБ Потертости и мелкие царапины Чехол короб без ЗУ</t>
  </si>
  <si>
    <t>05510005714</t>
  </si>
  <si>
    <t>, TECNO Camon 30S 6 ГБ 128 ГБ Потертости Коробка чехол без ЗУ</t>
  </si>
  <si>
    <t>05510005715</t>
  </si>
  <si>
    <t>TECNO Spark 30C 4 128 потерт короб, ЗУ, чехол</t>
  </si>
  <si>
    <t>05510005753</t>
  </si>
  <si>
    <t>; Состояние: Удовлетворительное, HP  9560BGW Мелкие царапины на корпусе, пару сколов, пыль Зу Intel Core i5  8265U 256 32  Intel  Graphics 620</t>
  </si>
  <si>
    <t>05510005852</t>
  </si>
  <si>
    <t>MSI  MS-1792 следы вскр  и падения отход корпус отсут болт не работает клава изолента сбоку ЗУ  Intel Core i5 4210H 1000 8   Nvidia GeForce GTX 960M</t>
  </si>
  <si>
    <t>Ломбард №582; г. Санкт-Петербург, пр-кт Ветеранов, д. 169, к.6, стр. 1, пом. 32-Н</t>
  </si>
  <si>
    <t>05820004443</t>
  </si>
  <si>
    <t>APPLE iPhone 11  128 потертости, царапины чехол</t>
  </si>
  <si>
    <t>05820005070</t>
  </si>
  <si>
    <t>Миксер REDMOND RHB-2939 коробка, чек. Комплект полный незначительные потертости, царапины</t>
  </si>
  <si>
    <t>05820005316</t>
  </si>
  <si>
    <t>Тип видеоадаптера: Дискретный, ASUS  ROG Strix G 731GV_GL 731GV Потертости, мелкие царапины на корпусе Зу Intel Core i7  9750H 475 16  Intel</t>
  </si>
  <si>
    <t>05820005479</t>
  </si>
  <si>
    <t>, IFFALCON 32F52 Потертости корпуса и экрана, пульт ( где батарейки ) постоянно открывается Телевизор,,  2 ножки,  шурупы для ножек, пульт с батарейками</t>
  </si>
  <si>
    <t>05820005993</t>
  </si>
  <si>
    <t>, Samsung Galaxy A22 4 ГБ 128 ГБ Трещина на экране и камере , потертости  корпуса и экрана . Тормозит с wi fi Без зу</t>
  </si>
  <si>
    <t>05820005997</t>
  </si>
  <si>
    <t>, Xiaomi Redmi A3x 3 ГБ 64 ГБ Потертости корпуса и экрана 862613076629846</t>
  </si>
  <si>
    <t>05820005998</t>
  </si>
  <si>
    <t>, Samsung Galaxy A14 4 ГБ 128 ГБ Вмятина на корпусе, потертомти корпуса и экране. Мелкие царапины Бнз зу</t>
  </si>
  <si>
    <t>05820006042</t>
  </si>
  <si>
    <t>, OPPO Find X2 Pro 12 ГБ 256 ГБ Потертости корпуса и стекла , следы клея Коробка , без зу,</t>
  </si>
  <si>
    <t>05820006047</t>
  </si>
  <si>
    <t>Состояние: Удовлетворительное, ENGU ESB-900 Следы использования, пыльная Шкурка на машинке</t>
  </si>
  <si>
    <t>05820006051</t>
  </si>
  <si>
    <t>, GATEWAY  GWNR51416-BL корпус весь в наклейках, потертости зу AMD Ryzen 5  3500U 239 8  AMD  Vega 8 Graphics</t>
  </si>
  <si>
    <t>05820006053</t>
  </si>
  <si>
    <t>Состояние: Хорошее, Condtrol Smart2d promo Следы использования Поробка</t>
  </si>
  <si>
    <t>Состояние: Удовлетворительное, Спец Бда-12-2 Следы использования Шуруповерт, зу  , доп аккумулятор</t>
  </si>
  <si>
    <t>Состояние: Удовлетворительное, Dexter PC350RS Следы эксплуатации Машинка с проводом</t>
  </si>
  <si>
    <t>05820006127</t>
  </si>
  <si>
    <t>; Состояние: Хорошее, Apple  MacBook pro Небольшие потертости Зу Intel Core i9  2,3 GHz 8- ядерный  16  Intel  Intel uhd Graphics</t>
  </si>
  <si>
    <t>05820006128</t>
  </si>
  <si>
    <t>; Состояние: Хорошее, Apple  MacBook pro Потертомти корпуса и экрана. . Раскладка клавиатуры англ. Зу Intel Core i9  2,4 GHz  32  Intel  Intel Ugg’s Graphics</t>
  </si>
  <si>
    <t>05820006382</t>
  </si>
  <si>
    <t>, Apple iPhone 12 mini  64 ГБ Не работает верхний динамик, не работает Face ID, трещина на защите, углы сбиты, потёртости. Чехол, без зу</t>
  </si>
  <si>
    <t>05820006438</t>
  </si>
  <si>
    <t>, Honor 9 8 ГБ 256 ГБ Потертости корпуса Чехол</t>
  </si>
  <si>
    <t>05820006446</t>
  </si>
  <si>
    <t>; Состояние: Удовлетворительное, HP  BCM943142Y Работает не совсем шустро,. Отсутствие на задней панели одной ножки. Потерт корпус,  наклейки ЗУ AMD A6  6320 APU 256 4  AMD  AMD Radeon (TM) R4  Graphics</t>
  </si>
  <si>
    <t>05820006469</t>
  </si>
  <si>
    <t>Состояние: Хорошее, ASUS  ViviBook15 Потертости, Царапины Зу, коробка чек от 18.07.25 AMD A6  RADEON R3 256 8  AMD  Graphics</t>
  </si>
  <si>
    <t>05820006524</t>
  </si>
  <si>
    <t>, Infinix Smart T10 16 ГБ 128 ГБ  Коробка, зу</t>
  </si>
  <si>
    <t>Ломбард №587; г. Санкт-Петербург, ул. Генерала Кравченко, д. 8, стр. 1, пом. 110Н</t>
  </si>
  <si>
    <t>05870002846</t>
  </si>
  <si>
    <t>Штроборез</t>
  </si>
  <si>
    <t>Зубр ЗШ-30-1200 т Следы экспл  Коробка,  Зубр ЗШ-30-1200 т Следы экспл  Коробка,  Зубр ЗШ-30-1200 т Следы экспл  Коробка</t>
  </si>
  <si>
    <t>05870002863</t>
  </si>
  <si>
    <t>TIM JT1626B Кейс Следы экспл</t>
  </si>
  <si>
    <t>05870005193</t>
  </si>
  <si>
    <t>, Hybest GSR40A Кейс, Зу, 2 батареи Пыль, потёртости, следы экспл</t>
  </si>
  <si>
    <t>05870005333</t>
  </si>
  <si>
    <t>, Samsung GALAXY A55 5G 8 ГБ 256 ГБ  чехол</t>
  </si>
  <si>
    <t>05870005347</t>
  </si>
  <si>
    <t>, Honor Pad X8a 6 ГБ 128 ГБ Разбит экран, по корпусу стесана краска, множеств потерт, грязь в разъёме Зу (не до конца заходит), на местах трещин - засветы нет</t>
  </si>
  <si>
    <t>05870005387</t>
  </si>
  <si>
    <t>Nikon D3000 потертости 18-55mm зу</t>
  </si>
  <si>
    <t>05870005426</t>
  </si>
  <si>
    <t>, Xiaomi Redmi 9T 4 ГБ 64 ГБ потертости царапины нет</t>
  </si>
  <si>
    <t>05870005646</t>
  </si>
  <si>
    <t>, anhtozyx zyx j30 коробка следы использования</t>
  </si>
  <si>
    <t>05870005648</t>
  </si>
  <si>
    <t>, DEXTER 0000 нет модели и серийного номера сверла</t>
  </si>
  <si>
    <t>05870005647</t>
  </si>
  <si>
    <t>05870005655</t>
  </si>
  <si>
    <t>, Bosch  GWS 850 CE сильные следы использования ржавчина диск</t>
  </si>
  <si>
    <t>05870005671</t>
  </si>
  <si>
    <t>Тип видеоадаптера: Встроенный, ASUS  f415e наклейки, потетт коробка зу Intel Core i3  1115G4 128 8  Intel  UHD Graphics</t>
  </si>
  <si>
    <t>05870005674</t>
  </si>
  <si>
    <t>Состояние: Хорошее, Metabo Ks 305 plus Стёрто у основание покрытие, царап -</t>
  </si>
  <si>
    <t>05870005676</t>
  </si>
  <si>
    <t>, Apple iPhone 13  128 ГБ царапины на стекле, потертости Чехол, без зу</t>
  </si>
  <si>
    <t>05870005698</t>
  </si>
  <si>
    <t>Состояние: Хорошее, dyson HS03 зу подставка небольшие следы использования мелкие царапины</t>
  </si>
  <si>
    <t>05870005717</t>
  </si>
  <si>
    <t>цепь светлого цвета, 48,82 гр</t>
  </si>
  <si>
    <t>05870005724</t>
  </si>
  <si>
    <t>Состояние: Хорошее, Dexter VOD1530SWC Следы экспл Шланг, труба, 3 насадки, фильтр</t>
  </si>
  <si>
    <t>Состояние: Хорошее, Zltrek ZKCH20FU-Li Царап, потерт, следы экспл Кейс, 2 акб, Зу, ручка для перфоратора</t>
  </si>
  <si>
    <t>Состояние: Хорошее, Ultima - - Неб потерт</t>
  </si>
  <si>
    <t>Состояние: Хорошее, Elitech По 16л-зел Следы экспл Сумка, Зу (блок и шнур) пульт, акб</t>
  </si>
  <si>
    <t>Состояние: Хорошее, Denzel DWP-1500 Кейс, подставка, ножницы для резки труб, насадки для труб Следы экспл</t>
  </si>
  <si>
    <t>Состояние: Хорошее, DEKO ZKCD20V ONE + BMC Сзади содрано покрытие, следы экспл, неб вроде ржавчина на железе Кейс, 2акб, Зу.</t>
  </si>
  <si>
    <t>Состояние: Хорошее, Спецо  БШУ-21-Б  Кейс, 2акб, Зу, ручка , защитка</t>
  </si>
  <si>
    <t>Плиткорез</t>
  </si>
  <si>
    <t>Состояние: Отличное, Neolaser NTC-750-M Пыльный, коробка в скотче Коробка, уголок</t>
  </si>
  <si>
    <t>05870005736</t>
  </si>
  <si>
    <t>Состояние: Хорошее, Bosch GBH 240 Следы экспл, пыль Кейс, ручка</t>
  </si>
  <si>
    <t>05870005748</t>
  </si>
  <si>
    <t>Состояние: Отличное, Ombra Профессиональный инструмент  Кейс</t>
  </si>
  <si>
    <t>05870005755</t>
  </si>
  <si>
    <t>Состояние: Хорошее, PATRIOT BR 181UES Небольшие следы эксплуаиации Кейс, за, 2 аккумулятора, сверла</t>
  </si>
  <si>
    <t>05870005770</t>
  </si>
  <si>
    <t>, Apple iPhone 13 Pro  256 ГБ Неб потерт -</t>
  </si>
  <si>
    <t>05870005775</t>
  </si>
  <si>
    <t>Состояние: Хорошее, Xiaomi MDZ-36-DB Неб потерт у разъемов зу Коробка</t>
  </si>
  <si>
    <t>05870005948</t>
  </si>
  <si>
    <t>, realme C71 6 ГБ 128 ГБ  -</t>
  </si>
  <si>
    <t>05870005959</t>
  </si>
  <si>
    <t>Состояние: Плохое, sturm DH2516P нет вмятины царапины следы экспл</t>
  </si>
  <si>
    <t>05870006042</t>
  </si>
  <si>
    <t>Состояние: Хорошее, яндекс колонка YNDX -00020 зу небольшие пятна</t>
  </si>
  <si>
    <t>05870006065</t>
  </si>
  <si>
    <t>, Xiaomi Redmi Note 8 2021 4 ГБ 64 ГБ Выгнут экран, царапины на экране и корпусе, вмятина у разъема зу Чехол</t>
  </si>
  <si>
    <t>05870006089</t>
  </si>
  <si>
    <t>, Xiaomi 12X 8 ГБ 128 ГБ Есть внутренние царап под корпусом, потёртости, мелкие царап на экране и на камере -</t>
  </si>
  <si>
    <t>05870006096</t>
  </si>
  <si>
    <t>Состояние: Плохое, Makita TW001G акб зу сильные следы использования вмятины глубокие царапины</t>
  </si>
  <si>
    <t>05870006121</t>
  </si>
  <si>
    <t>, Huawei Y5 Prime (2018) Dual sim 2 ГБ 16 ГБ Потёртости по корпусу и мелкие царапины -</t>
  </si>
  <si>
    <t>Ломбард №588; г. Санкт-Петербург, пр-кт Комендантский, д. 55, кор.1, стр. 1, пом. 2-Н</t>
  </si>
  <si>
    <t>05880007269</t>
  </si>
  <si>
    <t>; Недостатки: Мелкие царапины</t>
  </si>
  <si>
    <t>05880007459</t>
  </si>
  <si>
    <t>hammer flex DRL400a мелк царап, потерт, пыль без всего</t>
  </si>
  <si>
    <t>05880007537</t>
  </si>
  <si>
    <t>TECNO Pova 3 6 ГБ 128 ГБ Мелкие царапины, потёртости, наклейки на корпусе Без всего</t>
  </si>
  <si>
    <t>05880007729</t>
  </si>
  <si>
    <t>Производитель: Wando, Укажите комплектацию: Без всего, Недостатки: Мелкие царпины</t>
  </si>
  <si>
    <t>05880007853</t>
  </si>
  <si>
    <t>, Samsung Galaxy watch 7 SM-L305F 40mm Без дефектов Коробка, документы, зарядное, чек</t>
  </si>
  <si>
    <t>05880007994</t>
  </si>
  <si>
    <t>Селфи-Лампа Селфи-Лампа с блоком з/у Без подставки</t>
  </si>
  <si>
    <t>05880008001</t>
  </si>
  <si>
    <t>PlayStation Pro 1TB мелк царап коробка, док, 2 геймпада</t>
  </si>
  <si>
    <t>05880008032</t>
  </si>
  <si>
    <t>Производитель: B650, Модель (код модели): B650 GAMING X AX, Комплектация (есть ли чек и гарантия): Провод питания,коробка,, Состояние: Хорошее, Недостатки: Пыль Производитель: B650, Модель (код модели): B650 GAMING X AX, Комплектация (есть ли чек и гарантия): Провод питания,коробка,, Состояние: Хорошее, Недостатки: Пыль Производитель: B650, Модель (код модели): B650 GAMING X AX, Комплектация (есть ли чек и гарантия): Провод питания,коробка,, Состояние: Хорошее, Недостатки: Пыль Производитель: B6</t>
  </si>
  <si>
    <t>05880008056</t>
  </si>
  <si>
    <t>, Vivo V30 Lite 8 ГБ 128 ГБ Мелкие царапины на корпусе Без всего</t>
  </si>
  <si>
    <t>05880008072</t>
  </si>
  <si>
    <t>; Состояние: Хорошее, HP Color Laser MFP 179fnw Мелкие царапины Кабель питания</t>
  </si>
  <si>
    <t>05880008074</t>
  </si>
  <si>
    <t>, Apple iPhone 11  128 ГБ Мелкие царапины, сколы на корпусе Без всего</t>
  </si>
  <si>
    <t>05880008114</t>
  </si>
  <si>
    <t>realme Note 50 4 ГБ 128 ГБ Погнут, мелкие царапины по корпусу и дисплею Без всего</t>
  </si>
  <si>
    <t>05880008115</t>
  </si>
  <si>
    <t>; Состояние: Хорошее, Tunderobor  911X Wild Hunter G2XP Мелкие царпины, пыльный внутри Сумка, зарядное Intel Core i5  12450H 1TB 32  Nvidia  GeForce RTX 4060</t>
  </si>
  <si>
    <t>05880008358</t>
  </si>
  <si>
    <t>Apple iPhone 14 Pro  256 ГБ Мелкие царапины, сколы на корпусе, акб 74%, не работает Face id,  заменён дисплей Коробка</t>
  </si>
  <si>
    <t>05880008416</t>
  </si>
  <si>
    <t>Huawei Freebuds 5i только наушники мелк царап</t>
  </si>
  <si>
    <t>05880008437</t>
  </si>
  <si>
    <t>Dexp FF201H мелк царап, грязный кабель питания</t>
  </si>
  <si>
    <t>05880008447</t>
  </si>
  <si>
    <t>Amazfit A2040  мелк царап зу</t>
  </si>
  <si>
    <t>JBL  Charge 4 незначит. потёртости коробка</t>
  </si>
  <si>
    <t>05880008459</t>
  </si>
  <si>
    <t>Blackview BV6200 Pro 6 128 счёсы по корпусу чехол</t>
  </si>
  <si>
    <t>05880008461</t>
  </si>
  <si>
    <t>Apple iPhone 14 Pro Max  256 трещ. на защ. стекле, потёртости, АКБ</t>
  </si>
  <si>
    <t>Apple iPhone 12 Pro  512 неизвестный акб, потёртости чехол</t>
  </si>
  <si>
    <t>05880008495</t>
  </si>
  <si>
    <t>Состояние: Отличное, Honor BOT-WB01 1.95" Новые Полный комплект</t>
  </si>
  <si>
    <t>05880008502</t>
  </si>
  <si>
    <t>; Состояние: Отличное, Lenovo  IdeaPad Slim 3 15IRH10 Без дефектов Сумка, зарядное, мышка, коврик Intel Core i7  13620H 500GB 16  Intel  UHD Graphics</t>
  </si>
  <si>
    <t>Ломбард №589; г. Санкт-Петербург, ул. Парашютная, д. 61, кор. 1, лит. А, пом. 42-Н</t>
  </si>
  <si>
    <t>05890003143</t>
  </si>
  <si>
    <t>Тип видеоадаптера: Встроенный+Дискретный, MSI  Pulse GL66 12 UEK Потерт Зу Intel Core i7  12700H 512 16  Nvidia  RTX 3060 LAPTOP GPU</t>
  </si>
  <si>
    <t>05890003404</t>
  </si>
  <si>
    <t>Прочая автомобильная техника</t>
  </si>
  <si>
    <t>Состояние: Хорошее, Автомобильный пылесос MAX O Коробка 4 насодки</t>
  </si>
  <si>
    <t>Состояние: Хорошее, Doxbot CD-2015L-2C Новый 2 аккумулятор, кейс</t>
  </si>
  <si>
    <t>Состояние: Хорошее, HIBiRU Laser Technology  Кейс аккумулятор</t>
  </si>
  <si>
    <t>05890003405</t>
  </si>
  <si>
    <t>Состояние: Удовлетворительное, Doxbot CCS-1500A Без проверки О</t>
  </si>
  <si>
    <t>Состояние: Удовлетворительное, HITACHI DV13VSS Следы использ O</t>
  </si>
  <si>
    <t>Состояние: Удовлетворительное, Dexter UP20 Следы использ Заряд устр</t>
  </si>
  <si>
    <t>05890003428</t>
  </si>
  <si>
    <t>; Состояние: Плохое, Digma  EVE 15 P417 ES5063EW Грязь, отломан кусок на сгибе трещина на пластике закрывается открывается норм но будто скоро отвалится мелк царап пятна на крышке Зу погнут Зу Intel Pentium  J3710 512 4  Intel  HD Graphics</t>
  </si>
  <si>
    <t>05890003436</t>
  </si>
  <si>
    <t>Состояние: Хорошее, Acer  , ASPIRE A315-34  Коробка заряд документы AMD A10</t>
  </si>
  <si>
    <t>05890003696</t>
  </si>
  <si>
    <t>, Apple iPhone 14 Pro Max  128 ГБ Замена АКБ  потерт Коробка чек без зу</t>
  </si>
  <si>
    <t>Ломбард №610; г. Санкт-Петербург, ул. Русановская, д. 16, корп. 3, стр. 1, пом. 36-Н</t>
  </si>
  <si>
    <t>06100001394</t>
  </si>
  <si>
    <t>НИЗ RUPES LNR21ES потертости, затертости спереди сумка</t>
  </si>
  <si>
    <t>06100004208</t>
  </si>
  <si>
    <t>, АТОМ CD-181 Нет Зарядное</t>
  </si>
  <si>
    <t>06100004516</t>
  </si>
  <si>
    <t>Состояние: Удовлетворительное, КМ RH-801 Грязь, царапины, потертости Кейс</t>
  </si>
  <si>
    <t>06100004524</t>
  </si>
  <si>
    <t>, Honor 200 12 ГБ 512 ГБ  зу</t>
  </si>
  <si>
    <t>06100004527</t>
  </si>
  <si>
    <t>, Samsung Galaxy S21 5G 8 ГБ 256 ГБ  зу</t>
  </si>
  <si>
    <t>06100004528</t>
  </si>
  <si>
    <t>, Samsung Galaxy A56 8 ГБ 128 ГБ  провод</t>
  </si>
  <si>
    <t>06100004530</t>
  </si>
  <si>
    <t>, Apple iPhone 13 mini  128 ГБ потертсоти зу</t>
  </si>
  <si>
    <t>06100004577</t>
  </si>
  <si>
    <t>Состояние: Хорошее, Razer Deathadder Коробка, док Нет</t>
  </si>
  <si>
    <t>06100004578</t>
  </si>
  <si>
    <t>Состояние: Отличное, JBL Harman BEAM Коробка, док,проводок, док., запасные вкладки Нет</t>
  </si>
  <si>
    <t>06100004580</t>
  </si>
  <si>
    <t>Состояние: Хорошее, Xiaomi WRB 0620Wi  Грязь, потертости Без всего</t>
  </si>
  <si>
    <t>06100004815</t>
  </si>
  <si>
    <t>, Honor X6 4 ГБ 64 ГБ Мелкие царапинки по корпусу Без зу</t>
  </si>
  <si>
    <t>06100004852</t>
  </si>
  <si>
    <t>Состояние: Хорошее, Xiaomi 8112 Грязь, пыль, царапины по корпусу Коробка, станция, документы</t>
  </si>
  <si>
    <t>Ломбард №611; г. Санкт-Петербург, пр-кт Славы, д. 43/49, лит. А, пом. 9-Н</t>
  </si>
  <si>
    <t>06110002700</t>
  </si>
  <si>
    <t>Тип видеоадаптера: Встроенный+Дискретный, HP  HP Laptor 15 Работает только от сети,корпус в царапинах,потёртости,грязь,тач тормозит,интернет wifi не подключить Сумка,зу AMD A10  9620 512 8  AMD  AMD Radeon Graphics</t>
  </si>
  <si>
    <t>06110003075</t>
  </si>
  <si>
    <t>; Состояние: Плохое, ASUS  N55s Грязь,шерсть,липкий,не работает без з/у,скол на панели,греется при подключении в з/у З/у Intel Core i5  I5-2430M 64 6  Intel  Graphics family</t>
  </si>
  <si>
    <t>06110003076</t>
  </si>
  <si>
    <t>Состояние: Удовлетворительное, DEKO Нет Потёртости на корпусе Инструкция</t>
  </si>
  <si>
    <t>06110003085</t>
  </si>
  <si>
    <t>; Состояние: Удовлетворительное, DELL  Inspiron 15 7000 Gaming Жирный ,грязный, функции работают Без комплекта Intel Core i5  I5-7300 HQ CPU 128 16  Intel  HDgraphics 630</t>
  </si>
  <si>
    <t>06110003090</t>
  </si>
  <si>
    <t>, Apple iPhone 11  64 ГБ Ёмкость аккумулятора 71%, дефект дисплея-битый пиксель,потёртости царапины на корпусе и дисплее, Без комплекта,без з/у</t>
  </si>
  <si>
    <t>93690000963</t>
  </si>
  <si>
    <t>Состояние: Хорошее, Samsung UE40H6650AT небольш.следы экспл.: мелкие цар на корпусе пульт, ножки</t>
  </si>
  <si>
    <t>Ломбард №622; г. Санкт-Петербург, пр. Большевиков, д. 2, лит. А, пом. 3-Н</t>
  </si>
  <si>
    <t>06220002896</t>
  </si>
  <si>
    <t>Ardor gaming  NP5X_NP6X_NP7XRNA_RNB Небольшие потертости Зу Intel Core i5  12600h  16  Nvidia  GeForce rtx 2050</t>
  </si>
  <si>
    <t>06220004137</t>
  </si>
  <si>
    <t>, SKytools SO 1006 Нет Потертости царапины</t>
  </si>
  <si>
    <t>06220004204</t>
  </si>
  <si>
    <t>, Rovus 7326 Коробка, ручка, тряпка,  фильтр Новая</t>
  </si>
  <si>
    <t>06220004248</t>
  </si>
  <si>
    <t>Chrome Сборная гиря Кейс, штанга сборная, диски, шурупы Пыль, следы эксплуатации</t>
  </si>
  <si>
    <t>06220004250</t>
  </si>
  <si>
    <t>, Huawei T0014l Кейс Потертости , немного грязный кейс</t>
  </si>
  <si>
    <t>06220004275</t>
  </si>
  <si>
    <t>, TECNO CAMON 40 Pro 5G 8 ГБ 256 ГБ Незначительные следы эксплуатации Коробка, зу, чек, инструкция, чехол,</t>
  </si>
  <si>
    <t>06220004280</t>
  </si>
  <si>
    <t>, Xiaomi Poco M6 Pro 8 ГБ 256 ГБ Незначительные следы эксплуатации, Коробка, чехол 2 шт, инструкция, без зу</t>
  </si>
  <si>
    <t>06220004295</t>
  </si>
  <si>
    <t>, OnePlus Nord 4 12 ГБ 256 ГБ Состояние нового Нет</t>
  </si>
  <si>
    <t>06220004301</t>
  </si>
  <si>
    <t>, Infinix Note 40 Pro 12 ГБ 256 ГБ Состояние нового Коробка, зу</t>
  </si>
  <si>
    <t>06220004304</t>
  </si>
  <si>
    <t>Состояние: Отличное, Skytools SK1006 Док , гарантийный талон Новый</t>
  </si>
  <si>
    <t>06220004318</t>
  </si>
  <si>
    <t>Производитель: AEG, Модель: Нет, Серийный номер: 0, Укажите комплектацию: Нет, Состояние: Плохое, Недостатки: Нет модели все в царапинах и грязе</t>
  </si>
  <si>
    <t>06220004485</t>
  </si>
  <si>
    <t>Состояние: Хорошее, Eplutus DVR924 Небольшие потертости Провод питания</t>
  </si>
  <si>
    <t>06220004486</t>
  </si>
  <si>
    <t>Состояние: Удовлетворительное, Не указан Не указана Сильные потертости, царапины Прикуриватель</t>
  </si>
  <si>
    <t>06220004508</t>
  </si>
  <si>
    <t>, Samsung Galaxy A30s 3 ГБ 32 ГБ Потертости на корпусе, царапина на корпусе Чехол, без зу</t>
  </si>
  <si>
    <t>06220004557</t>
  </si>
  <si>
    <t>Состояние: Хорошее, Defender Havk Вскрытая упаковка Коробка, пинцет, запасные кнопки 4 шт</t>
  </si>
  <si>
    <t>06220004599</t>
  </si>
  <si>
    <t>, Xiaomi Poco M6 8 ГБ 256 ГБ Следы эксплуатации, мелкие царапинки на корпусе и экране Коробка, без зу</t>
  </si>
  <si>
    <t>06220004605</t>
  </si>
  <si>
    <t>Состояние: Хорошее, Car wireless Беспроводная зарядка  Пыль, следы эксплуатации Без комплекта</t>
  </si>
  <si>
    <t>Состояние: Удовлетворительное, Baseus PPAP...........  Царапины на корпусе, данные с корпуса стерты Без зу</t>
  </si>
  <si>
    <t>Ломбард №626; Ленинградская обл.,Всеволожский р-н, г.Мурино, ул.Шоссе в Лаврики, д . 59 к.1, п. 25Н</t>
  </si>
  <si>
    <t>06260005495</t>
  </si>
  <si>
    <t>, Яндекс станция YNDX-00052 зу пятна следы эксплуатации</t>
  </si>
  <si>
    <t>06260005571</t>
  </si>
  <si>
    <t>, Bloody MN240F  Коробка, ножка, провода</t>
  </si>
  <si>
    <t>06260006010</t>
  </si>
  <si>
    <t>, Sony A6000 Мел цар Съёмный SELP1650 Зу</t>
  </si>
  <si>
    <t>06260006265</t>
  </si>
  <si>
    <t>, TECNO Spark 10 Pro 8 ГБ 256 ГБ Мелк царап потёртости Коробка + з/у</t>
  </si>
  <si>
    <t>06260006330</t>
  </si>
  <si>
    <t>Тип видеоадаптера: Встроенный+Дискретный, MSI  GF75 Thin95CSR Потерт царап отсутствуют 3 болта З/у Intel Core i5   932 16  Nvidia  GeForce GTX 1650 Ti</t>
  </si>
  <si>
    <t>06260006367</t>
  </si>
  <si>
    <t>Производитель: Philips, Серийный номер: UZ1A2244002043, Укажите комплектацию: Инструкция провод два пульта, Недостатки: Небольшие следы эксплуатации</t>
  </si>
  <si>
    <t>06260006507</t>
  </si>
  <si>
    <t>, Fiero HS600 Небольшие следы эксплуатации Провода микрофон пульт</t>
  </si>
  <si>
    <t>06260006525</t>
  </si>
  <si>
    <t>Тип видеоадаптера: Встроенный, THUNDEROBOT  911X Небольшие следы эксплуатации Сумка з/у Intel Core i5  12450H 954 32  Intel  UHD Graphics</t>
  </si>
  <si>
    <t>06260006528</t>
  </si>
  <si>
    <t>, Xiaomi Redmi Note 11 Pro+ 5G 12 ГБ 256 ГБ Небольшие следы эксплуатации, потёртости Чехол</t>
  </si>
  <si>
    <t>06260006573</t>
  </si>
  <si>
    <t>, TECNO Spark 30C 4 ГБ 128 ГБ Сбит угол, мелкие царапины, грязь Без всего</t>
  </si>
  <si>
    <t>06260006495</t>
  </si>
  <si>
    <t>06260006578</t>
  </si>
  <si>
    <t>samsung tab a9+  8 128 потертости царапины небол вмятина на зад части корпуса коробка</t>
  </si>
  <si>
    <t>06260006610</t>
  </si>
  <si>
    <t>; Состояние: Удовлетворительное, Maibenben  М545 Потер царап следы экспл Сумка зу AMD Ryzen 5    16  AMD</t>
  </si>
  <si>
    <t>06260006622</t>
  </si>
  <si>
    <t>Состояние: Хорошее, Яндекс станция YNDX-0054 Небольшие следы эксплуатации Коробка, з/у</t>
  </si>
  <si>
    <t>06260006645</t>
  </si>
  <si>
    <t>Состояние: Отличное, nocord  NGG-1300 Новое устройство, не использовалось Инструкция, коробка, насадки</t>
  </si>
  <si>
    <t>06260006646</t>
  </si>
  <si>
    <t>Состояние: Отличное, nocord  NGG-11100 Нет Коробка инструкция насадки</t>
  </si>
  <si>
    <t>06260006647</t>
  </si>
  <si>
    <t>Состояние: Отличное, BBK 20MWS-711M/WS Нет Коробка гарантия</t>
  </si>
  <si>
    <t>06260006701</t>
  </si>
  <si>
    <t>Состояние: Хорошее, Fiero FR950 Пульт микрофон провод руководство по эксплуатации Небольшие следы эксплуатации</t>
  </si>
  <si>
    <t>06260006792</t>
  </si>
  <si>
    <t>, Xiaomi 11T 8 ГБ 256 ГБ  Без всего</t>
  </si>
  <si>
    <t>06260006818</t>
  </si>
  <si>
    <t>, Apple iPhone 12 mini  128 ГБ Акб 100% небольшие следы эксплуатации Чехол</t>
  </si>
  <si>
    <t>06260006846</t>
  </si>
  <si>
    <t>Состояние: Хорошее, DEXP R555 Без всего Небольшие следы эксплуатации</t>
  </si>
  <si>
    <t>Ломбард №628 Ленингр. обл,Всеволожский,Заневское,г.Кудрово,мкрНовый Оккервиль, ул.Ленинградская, д.5</t>
  </si>
  <si>
    <t>06280002787</t>
  </si>
  <si>
    <t>, Apple iPhone 12  64 ГБ Потёртости по периметру Коробка</t>
  </si>
  <si>
    <t>06280002797</t>
  </si>
  <si>
    <t>, Apple  Аpple M1 Потёртости незначительные Коробка зу Apple  Sequoia 15 3.1 256 8    Retina</t>
  </si>
  <si>
    <t>06280003146</t>
  </si>
  <si>
    <t>50 Smart TV S3 потертости коробка, пульт, сетевой кабель</t>
  </si>
  <si>
    <t>06280003291</t>
  </si>
  <si>
    <t>, Apple iPhone 16 Pro  128 ГБ Пару царапин на защитном стекле Коробка, чехол, кабель зу</t>
  </si>
  <si>
    <t>06280003399</t>
  </si>
  <si>
    <t>, Sigmund and Shtain BH-342 M Чаша, венчик, стакан, насадка для блендера погружного,  3 ножа, толкатель, Незначительные следы эксплуатации</t>
  </si>
  <si>
    <t>06280003458</t>
  </si>
  <si>
    <t>, Lenovo  Idea pad 530s-15IKB Потёртости царапины вмятины на корпусе. Тач скрин не очень работает.зу заклеено Зу Intel Core i5  8250U 256 8  Nvidia  GeForce МХ 150</t>
  </si>
  <si>
    <t>06280003465</t>
  </si>
  <si>
    <t>, Apple iPhone 16  128 ГБ Не показывает состояние аккумулятора/ потёртости Без зу без комплекта</t>
  </si>
  <si>
    <t>06280003496</t>
  </si>
  <si>
    <t>Haier 32 smart TV S2 Незначительные следы эксплуатации Коробка пульт</t>
  </si>
  <si>
    <t>06280003542</t>
  </si>
  <si>
    <t>, LG Electronics 32LJ500V Мелкие царапины, потёртости Сетевой кабель, пульт</t>
  </si>
  <si>
    <t>06280003581</t>
  </si>
  <si>
    <t>, Xiaomi Redmi Note 14S 8 ГБ 128 ГБ Незначительные следы эксплуатации Чехол</t>
  </si>
  <si>
    <t>06280003585</t>
  </si>
  <si>
    <t>, Haier 55 Smart TV S2 Pro Царапины небольшие, потертости Коробка, пульт, ножки, документы</t>
  </si>
  <si>
    <t>06280003793</t>
  </si>
  <si>
    <t>, Другой PPA20K Бк Потёртости</t>
  </si>
  <si>
    <t>06280003807</t>
  </si>
  <si>
    <t>Состояние: Хорошее, Microsoft Xbox Series S Приставка, 2 джойстика Потёртости,  царапины на корпусе, отсутсвует часть силиконовых "ножек"</t>
  </si>
  <si>
    <t>06280003814</t>
  </si>
  <si>
    <t>, Huawei nova 10 SE 8 ГБ 128 ГБ Потёртости,  мелкие царапины Без комплекта, зу нет</t>
  </si>
  <si>
    <t>06280003831</t>
  </si>
  <si>
    <t>Состояние: Хорошее, Apple SE 40 Потёртости Без комплекта без зу</t>
  </si>
  <si>
    <t>06280003841</t>
  </si>
  <si>
    <t>Xiaomi L32M8-A2RU Потёртости пыль Пульт</t>
  </si>
  <si>
    <t>06280003973</t>
  </si>
  <si>
    <t>браслет вставки желтого цвета вес 18,64гр</t>
  </si>
  <si>
    <t>06280004021</t>
  </si>
  <si>
    <t>Состояние: Отличное, Michael Kors MK5783 Состояние новых Коробка</t>
  </si>
  <si>
    <t>Состояние: Отличное, Michael Kors 4284 Почти без следов эксплуатации Коробка</t>
  </si>
  <si>
    <t>Состояние: Отличное, Michael Kors 5879 Состояние новой вещи Коробка</t>
  </si>
  <si>
    <t>93690000232</t>
  </si>
  <si>
    <t>AOPEN 27HC5R Пыль Провод питания</t>
  </si>
  <si>
    <t>93690000910</t>
  </si>
  <si>
    <t>Samsung 	U32J590UQI следы экспл коробка ножка зу</t>
  </si>
  <si>
    <t>Ломбард №640; Ленинградская обл,Всеволожский р-н,,г.п.Янино-1,МКР Янила Кантри.ул.Тюльпанов,д.2п.1-H</t>
  </si>
  <si>
    <t>06400002629</t>
  </si>
  <si>
    <t>, Xiaomi Redmi 12C 4 ГБ 128 ГБ Царапины и потёртости на экране, есть сколы на экране в углу Чехол, ЗУ</t>
  </si>
  <si>
    <t>06400003290</t>
  </si>
  <si>
    <t>, Apple iPhone 14 Pro  128 ГБ Следы эксплуатации, загрязнения Чехол, нет ЗУ, защитное стекло на экране</t>
  </si>
  <si>
    <t>06400003752</t>
  </si>
  <si>
    <t>, Hammer PRT800C Следы эксплуатации царапины потертости Кейс, сверло, ключ, инструкция</t>
  </si>
  <si>
    <t>06400003904</t>
  </si>
  <si>
    <t>TECNO Camon 30 Pro 12 ГБ 512 ГБ Следы эксплуатации потертости Коробка ЗУ</t>
  </si>
  <si>
    <t>06400003986</t>
  </si>
  <si>
    <t>, Apple iPhone 11 Pro  128 ГБ Предполагаю была замена дисплея и акб Нет комплекта нет зу</t>
  </si>
  <si>
    <t>Ломбард №641; Ленинградская обл,м-рВсеволожский ,,г.п.Муринское,г.Мурино, б-р Петровский,д.6к.1 п.2Н</t>
  </si>
  <si>
    <t>06410002265</t>
  </si>
  <si>
    <t>06410003266</t>
  </si>
  <si>
    <t>Apple iPhone Xr  64 Мелк царап  Чехол без зу</t>
  </si>
  <si>
    <t>06410003345</t>
  </si>
  <si>
    <t>Производитель: Samsung, Рекламная модель: Galaxy A55, Объем оперативной памяти (ОЗУ, RAM) ГБ: 8, Объем постоянной памяти (ПЗУ, ROM) ГБ: 256, IMEI: 350471125609197, Комплектация (есть ли чек и гарантия): Шнур, коробка, Состояние: «Удовлетворительное» – Устройство было в активной эксплуатации. Все функции исправны. Есть несколько царапин и потертостей. Есть скол на металле. , Недостатки: Незначительные царапины, на углу вмятина</t>
  </si>
  <si>
    <t>06410003568</t>
  </si>
  <si>
    <t>, Samsung Galaxy S22 Ultra 12 ГБ 256 ГБ Царапины, потёртости, сбиты углы Коробка</t>
  </si>
  <si>
    <t>06410003535</t>
  </si>
  <si>
    <t>06410004044</t>
  </si>
  <si>
    <t>; (т) Вел. Описание дефектов/недостатков: Следы использования сколы царапины повреждения днища</t>
  </si>
  <si>
    <t>06410004096</t>
  </si>
  <si>
    <t>, Apple iPhone 16  128 ГБ Мелк царап Чехол</t>
  </si>
  <si>
    <t>06410004176</t>
  </si>
  <si>
    <t>06410004474</t>
  </si>
  <si>
    <t>, Apple iPhone 15  128 ГБ Мелк царап Чехол</t>
  </si>
  <si>
    <t>06410004664</t>
  </si>
  <si>
    <t>Состояние: Хорошее, Yamaguchi RoBoost Мелк царап Без ничего</t>
  </si>
  <si>
    <t>06410004680</t>
  </si>
  <si>
    <t>Состояние: Хорошее, Яндекс Yndx-00101 Царапины Пульт,ножки, коробка, шнур</t>
  </si>
  <si>
    <t>06410004940</t>
  </si>
  <si>
    <t>цепь серего цвета 925 проба  грязь царап</t>
  </si>
  <si>
    <t>06410004977</t>
  </si>
  <si>
    <t>Состояние: Хорошее, Nikon D3100 Небольшие потертости DX 15-55 Зу</t>
  </si>
  <si>
    <t>06410004990</t>
  </si>
  <si>
    <t>, Xiaomi Redmi Note 13 Pro 8 ГБ 256 ГБ Небольшие плтертости Без зв</t>
  </si>
  <si>
    <t>Ломбард №646 г. Санкт-Петербург, Ленинский пр-кт, д.45 корп. 1 стр. 1 пом. 4Н</t>
  </si>
  <si>
    <t>06460000718</t>
  </si>
  <si>
    <t>Производитель: Metabo, Модель устройства: PowerMaxx BS, Укажите год выпуска устройства: 2018, Комплектация: Аккумулятор, провод , Состояние: Удовлетворительное, Недостатки: Следы эксплуатации, царапины , Гарантия: -</t>
  </si>
  <si>
    <t>06460002014</t>
  </si>
  <si>
    <t>Сообщите вес каждого наушника и зарядного кейса: 7.70, 7.72, 52.48, Soundcore Liberty 2 Pro b2c Полный Следы эксплуатации</t>
  </si>
  <si>
    <t>06460002919</t>
  </si>
  <si>
    <t>Производитель: ARDOR GAMING, Серийный номер: OUJ335092596, Укажите комплектацию: КОРОБКА шнур питания, Недостатки: потертости</t>
  </si>
  <si>
    <t>Производитель: Intel, Производитель и серия процессора: Intel Xeon, Модель процессора: 2670, Оперативная память (GB): 16, Тип накопителя (жесткого диска): HDD + SSD, Ёмкость жесткого диска: 512, Производитель видеокарты: Nvidia, Укажите комплектацию: коробка клавиатура мышь, Недостатки: потертости</t>
  </si>
  <si>
    <t>06460003057</t>
  </si>
  <si>
    <t>Состояние: Отличное, TP-LINK ARCHER C6  коробка шнур питания</t>
  </si>
  <si>
    <t>06460003093</t>
  </si>
  <si>
    <t>; Состояние: Удовлетворительное, Blackview Tab 16 8 ГБ 256 ГБ ЦАРАПИНЫ ПОТЕРТОСТИ ГРЯЗЬ СЛЕДЫ ЭКСПЛУАТАЦИИ</t>
  </si>
  <si>
    <t>06460003125</t>
  </si>
  <si>
    <t>, TECNO Spark 30 8 ГБ 256 ГБ  без зу</t>
  </si>
  <si>
    <t>06460003137</t>
  </si>
  <si>
    <t>Сабля</t>
  </si>
  <si>
    <t>06460003141</t>
  </si>
  <si>
    <t>, Samsung Galaxy S24 FE 8 ГБ 256 ГБ  коробка без зу</t>
  </si>
  <si>
    <t>06460003155</t>
  </si>
  <si>
    <t>, Apple iPhone 14  256 ГБ  БЕЗ ЗУ</t>
  </si>
  <si>
    <t>06460003308</t>
  </si>
  <si>
    <t>, Apple iPhone 11  128 ГБ Выгорание экрана , царапины , потертости Без зу</t>
  </si>
  <si>
    <t>06460003316</t>
  </si>
  <si>
    <t>Состояние: Хорошее, ARZORA S1 TABLE потертости Без зу без шнура</t>
  </si>
  <si>
    <t>Ломбард №648 г. Санкт-Петербург, Шушары п, Старорусский пр-кт, д. 11, стр. 1, помещ. 30Н</t>
  </si>
  <si>
    <t>06480001416</t>
  </si>
  <si>
    <t>, @Lux Xbox series S 512 - Коробка , чек , джойстик, кабель питания, провод HDMI</t>
  </si>
  <si>
    <t>06480001444</t>
  </si>
  <si>
    <t>Тип видеоадаптера: Встроенный, ZET Gaming NEO EM83014 Пыль Системный блок, провод питания, провод HDMI Intel Core i5  i5-11400F 16  512 Nvidia  GeForce GTX 1650</t>
  </si>
  <si>
    <t>06480001471</t>
  </si>
  <si>
    <t>, TECNO Spark 30C 6 ГБ 128 ГБ Потёртости, царапины, жёлтая полоса по периметру экрана Без</t>
  </si>
  <si>
    <t>06480001700</t>
  </si>
  <si>
    <t>, Apple iPhone 6  16 ГБ Мелкие царапины, маленький скол на камере, потертости Ничего</t>
  </si>
  <si>
    <t>06480001703</t>
  </si>
  <si>
    <t>Состояние: Хорошее, Redmond RSM-1409 Подставка с кабелем питания , документ с рецептами, тарелка ,лопатка . Нету коробки , мелк царапины на пластике тарелка потертая с лопаткой</t>
  </si>
  <si>
    <t>06480001710</t>
  </si>
  <si>
    <t>Состояние: Хорошее, deerma Dx700s Легкие следы эксплуатации Ничего</t>
  </si>
  <si>
    <t>Ломбард №649 г. Санкт-Петербург,п.Шушары, ул.Ростовская (Славянка),д.19/3 литер А, помещ. 30-Н</t>
  </si>
  <si>
    <t>06490002445</t>
  </si>
  <si>
    <t>, Apple iPhone 15 Pro Max  256 ГБ Трещина на экране без з/у чехол</t>
  </si>
  <si>
    <t>06490003165</t>
  </si>
  <si>
    <t>Тип видеоадаптера: Встроенный+Дискретный, MSI  Katana GF76 11SC Грязь потертости Сумка з/у мвшка Intel Core i5  11400J 128 16  Intel  UND Graphics</t>
  </si>
  <si>
    <t>06490003189</t>
  </si>
  <si>
    <t>, Xiaomi Redmi A5 4G 3 ГБ 64 ГБ Незначительные следы эксплуатации грязь Без з/у</t>
  </si>
  <si>
    <t>06490003454</t>
  </si>
  <si>
    <t>Электронная книга</t>
  </si>
  <si>
    <t>Производитель: PocketBook, Модель: PB628, Серийный номер: 2AUVWPB628, Укажите комплектацию: Коробка,кабель, Состояние: Хорошее, Недостатки: Незначительные потертости на экране и на книге</t>
  </si>
  <si>
    <t>06490003691</t>
  </si>
  <si>
    <t>Состояние: Удовлетворительное, MEKKAN МК 1505 Грязь,зарапины, на сверлах ржавчина Бокс,сверла</t>
  </si>
  <si>
    <t>06490003705</t>
  </si>
  <si>
    <t>, Blackview BV7300 6 ГБ 256 ГБ Незначительные следы эксплуатации Чехол з/у</t>
  </si>
  <si>
    <t>06490003706</t>
  </si>
  <si>
    <t>Состояние: Удовлетворительное, Hammer ACD12/2LE Царапины потёртости грязь,нет возможности проверить держит сверло или нет З/у 2 аккумулятора</t>
  </si>
  <si>
    <t>Состояние: Удовлетворительное, СПЕЦО БЦП-1300 Грязь царапины потёртости
Нет ключа для смены диска. Он должен быть в комплекте. Коробка ,2 диска ,линейка</t>
  </si>
  <si>
    <t>06490003783</t>
  </si>
  <si>
    <t>Интерскоп Дп 165</t>
  </si>
  <si>
    <t>Ломбард №652 г. Санкт-Петербург, Муринская дорога, д.84 А, пом.. 10-Н</t>
  </si>
  <si>
    <t>06520002141</t>
  </si>
  <si>
    <t>, Samsung Galaxy watch 44 Много сколов около экраны, мелкие царапины дисплея, местами нет краски Часы, зу</t>
  </si>
  <si>
    <t>06520002278</t>
  </si>
  <si>
    <t>, Samsung Galaxy A01 2 ГБ 16 ГБ Многочисленные царапины экрана и корпуса. Разбито геездо заряда Нет</t>
  </si>
  <si>
    <t>06520002946</t>
  </si>
  <si>
    <t>, Polaris OMG 1855 rus Насадки на, мясорубку и насадки соковыжималки Есть небольшие следы эксплуатации</t>
  </si>
  <si>
    <t>06520003026</t>
  </si>
  <si>
    <t>, Redmi X27G Мелкие царапины на корпусе, пыль. Монитор, провод</t>
  </si>
  <si>
    <t>06520003118</t>
  </si>
  <si>
    <t>, Dexp 43UCY1/B Очень грязный, мелкие цврапины. Коробка, тв, пульт  ножки</t>
  </si>
  <si>
    <t>06520003222</t>
  </si>
  <si>
    <t>, TECNO Camon 20 Pro 8 ГБ 256 ГБ Скол на экране в верхнем левом углу, скол на камере, царапины, грязь. Чехол</t>
  </si>
  <si>
    <t>06520003238</t>
  </si>
  <si>
    <t>Производитель: JBL, Серийный номер: NDO723-EMOO80467, Укажите комплектацию: Без всего, Недостатки: Грязная.пошарпана.</t>
  </si>
  <si>
    <t>Производитель: Xiaomi, Сообщите вес каждого наушника и зарядного кейса: 31.46 4.14  4.18, Серийный номер: 5504ABRSW24AUDR49, Укажите комплектацию: Полный комплект, Недостатки: Царапины</t>
  </si>
  <si>
    <t>Производитель: Xiaomi, Серийный номер: Стерт не прочитатт, Укажите комплектацию: Без всего, Недостатки: Пыль</t>
  </si>
  <si>
    <t>Производитель: Akai, Серийный номер: Нет, Укажите комплектацию: Без всего, Недостатки: Царапины, грчщь</t>
  </si>
  <si>
    <t>Производитель: Xiaomi, Размер экрана (мм.): 2.7 ", Серийный номер: 57766/B6AFMN4ZROO536, Укажите комплектацию: Полный комплект, Недостатки: Мелкие царапины</t>
  </si>
  <si>
    <t>06520003257</t>
  </si>
  <si>
    <t>, ELITECH ПТ 17-25К Полный комплект</t>
  </si>
  <si>
    <t>06520003287</t>
  </si>
  <si>
    <t>, realme C31 3 ГБ 32 ГБ Желтит экран внизу, царапины, грязь. Нет</t>
  </si>
  <si>
    <t>06520003289</t>
  </si>
  <si>
    <t>, Xiaomi Poco X7 Pro 12 ГБ 512 ГБ Мелкие царапины на корпусе и экране Нет</t>
  </si>
  <si>
    <t>06520003309</t>
  </si>
  <si>
    <t>, TFN TFN PB 283  Сильно цапанный и потериый Нет</t>
  </si>
  <si>
    <t>06520003324</t>
  </si>
  <si>
    <t>, Xiaomi 14T 12 ГБ 256 ГБ Мелкие царапины на корпусе, экран в пленке. Скол на бортике Полный комплект</t>
  </si>
  <si>
    <t>06520003353</t>
  </si>
  <si>
    <t>, Xiaomi Redmi Note 102 pro+ 8 ГБ 256 ГБ Мел царапины грязь потер Коробка зу</t>
  </si>
  <si>
    <t>06520003360</t>
  </si>
  <si>
    <t>, Speaker ZQS4239S Мел царапины Коробка пульт микрофон</t>
  </si>
  <si>
    <t>06520003448</t>
  </si>
  <si>
    <t>Состояние: Удовлетворительное, Xiaomi Band 9 1.47" Царапины, грязь Зу</t>
  </si>
  <si>
    <t>06520003454</t>
  </si>
  <si>
    <t>, Xiaomi Redmi Note 12 6 ГБ 128 ГБ Сбиты и стерты все углы, все в царапинах. На экране засветы. Нет</t>
  </si>
  <si>
    <t>06520003467</t>
  </si>
  <si>
    <t>Производитель: Dextep, Модель устройства: Z1C-HW-2662SREP, Укажите год выпуска устройства: Нет, У вас есть возможность провести проверку работоспособности устройства?: Да, Комплектация: Сумка кейс,  сверла, инструкция, Состояние: Хорошее, Недостатки: Мелкие царапины по корпусу,следы эксплуатации,грязь, Гарантия: Нет</t>
  </si>
  <si>
    <t>06520003478</t>
  </si>
  <si>
    <t>, Apple iPhone 15 Pro Max  256 ГБ Мелкие царапины на корпусе Коробка</t>
  </si>
  <si>
    <t>06520003508</t>
  </si>
  <si>
    <t>, Samsung Galaxy S24 Ultra 12 ГБ 256 ГБ Потёртости и царапины. Трещины и сколы на защитном стекле Нет</t>
  </si>
  <si>
    <t>06520003524</t>
  </si>
  <si>
    <t>, Xiaomi Redmi 10 4 ГБ 128 ГБ Разбит экран, желтит, разбита камера, разбитв углы, грязь в динамиках, царапины. Нет</t>
  </si>
  <si>
    <t>06520003547</t>
  </si>
  <si>
    <t>, Xiaomi Redmi Note 7 3 ГБ 32 ГБ Царапины, сколы на углах, желтит внизу экран. Чезол</t>
  </si>
  <si>
    <t>06520003633</t>
  </si>
  <si>
    <t>Samsung Galaxy A72 6 ГБ 128 ГБ Грязь, царапины корпуса и экрана. Чехол</t>
  </si>
  <si>
    <t>93690000970</t>
  </si>
  <si>
    <t>Состояние: Отличное, Gigabyte  G6X следы экспл зу Intel Core i7  13650HX  16  Nvidia  RTX4050</t>
  </si>
  <si>
    <t>Ломбард №659 г. Санкт-Петербург, пр. Авиаконструкторов, д.63 стр1, пом. 28Н</t>
  </si>
  <si>
    <t>06590001843</t>
  </si>
  <si>
    <t>06590001849</t>
  </si>
  <si>
    <t>TECNO Pova 6 Neo 8 256  коробка, зу</t>
  </si>
  <si>
    <t>06590002070</t>
  </si>
  <si>
    <t>Комплектация (есть ли чек и гарантия): Чехол, Apple iPad (8-го поколения) (2020)  32 ГБ Потертости,наклейки</t>
  </si>
  <si>
    <t>06590002096</t>
  </si>
  <si>
    <t>, TECNO Spark Go 2024 4 ГБ 128 ГБ Царапины по экрану и корпусу Чехол</t>
  </si>
  <si>
    <t>06590002216</t>
  </si>
  <si>
    <t>, ASUS  Fx706h Наклейка Коробка,зу</t>
  </si>
  <si>
    <t>06590002388</t>
  </si>
  <si>
    <t>, Marshall Major IV Коробка, провод для компа Потертости</t>
  </si>
  <si>
    <t>06590002389</t>
  </si>
  <si>
    <t>, Bosch GDS 18 V-EC 250 Следы эксплуатации, потертости, царапины Кейс,  зу, 2 аккума</t>
  </si>
  <si>
    <t>06590002390</t>
  </si>
  <si>
    <t>цепь УББЗ 925  глаз пантеры 15,96 гр и цепь двойной ромб  38,88 гр потерт царап ITALY</t>
  </si>
  <si>
    <t>06590002396</t>
  </si>
  <si>
    <t>Состояние: Удовлетворительное, Infinix HOT 40 8 ГБ 256 ГБ Царапины Чехол</t>
  </si>
  <si>
    <t>06590002409</t>
  </si>
  <si>
    <t>Состояние: Удовлетворительное, Polaris Prem 0920 -</t>
  </si>
  <si>
    <t>06590002410</t>
  </si>
  <si>
    <t>; (т) Вел. Описание дефектов/недостатков: Ржавчина,следы эксплуатации</t>
  </si>
  <si>
    <t>06590002411</t>
  </si>
  <si>
    <t>Состояние: Удовлетворительное, Нет Нет Нет Царапины</t>
  </si>
  <si>
    <t>06590002432</t>
  </si>
  <si>
    <t>, Huawei nova 13 12 ГБ 512 ГБ Потертости Чехол</t>
  </si>
  <si>
    <t>06590002452</t>
  </si>
  <si>
    <t>Состояние: Хорошее, Нет Нет  Потертости Нет</t>
  </si>
  <si>
    <t>06590002456</t>
  </si>
  <si>
    <t>, realme Note 60x 3 ГБ 64 ГБ Потертости царапины Чехол</t>
  </si>
  <si>
    <t>06590002576</t>
  </si>
  <si>
    <t>Состояние: Хорошее, Skil 8003 Следы эксплуатации Кейс, инструкция</t>
  </si>
  <si>
    <t>Состояние: Хорошее, Bosch Plr 50 Сумочка Потертости</t>
  </si>
  <si>
    <t>06590002607</t>
  </si>
  <si>
    <t>Производитель: Huter, Модель: Els-2400, Серийный номер: Ote0211y0A02009241202393, Укажите комплектацию: Коробка, документы, Состояние: Хорошее, Недостатки: Состояние нового</t>
  </si>
  <si>
    <t>06590002615</t>
  </si>
  <si>
    <t>Состояние: Хорошее, Xiaomi Mi smart scale 2 Потертости Нет</t>
  </si>
  <si>
    <t>06590002629</t>
  </si>
  <si>
    <t>Состояние: Хорошее, Sony Playstation 4 cuh-2208B Кабеля питания, hdmi кабель Потертости царапины</t>
  </si>
  <si>
    <t>Ломбард №661 г. Санкт-Петербург, ул.Среднерогатская,, д.9 А, пом.75-Н</t>
  </si>
  <si>
    <t>06610000681</t>
  </si>
  <si>
    <t>, realme RMX3834 4 ГБ 128 ГБ Грязн , царапины потертости Чехол , плёнка</t>
  </si>
  <si>
    <t>06610000796</t>
  </si>
  <si>
    <t>, OMRON M2 Basic Измеритель давления Коробка Мелк потерт царап</t>
  </si>
  <si>
    <t>, FELFRI - - Мелк потерт царап пыль</t>
  </si>
  <si>
    <t>06610000950</t>
  </si>
  <si>
    <t>, Xiaomi Poco C51 2 ГБ 64 ГБ Следы эксплуатации,  царапины, сколы по бокам,  вмятины. Только телефон</t>
  </si>
  <si>
    <t>06610001001</t>
  </si>
  <si>
    <t>Xiaomi Redmi 9 4 ГБ 64 ГБ Пыль стертые углы царапины засвет на экране Чехол</t>
  </si>
  <si>
    <t>06610001108</t>
  </si>
  <si>
    <t>Состояние: Хорошее, Beats Executive Сумка провод Мелкие царапинки вмятина небольшая на внешней сторонн</t>
  </si>
  <si>
    <t>06610001133</t>
  </si>
  <si>
    <t>, Infinix Hot 11 Play 4 ГБ 64 ГБ Следы эксплуатации,  потёртости,  небольшие сколы на стекле защитном Телефон, чехол</t>
  </si>
  <si>
    <t>Ломбард №668 Ленинградская обл., р-н Ломоносовский, гп Новоселье, ул.Невская, д.1, пом 18Н,</t>
  </si>
  <si>
    <t>06680000784</t>
  </si>
  <si>
    <t>, MSI Deepcool Потёртрсти, мелкие царапины Сетевой провод Intel Core i5  11400 16  250 Nvidia  GTX1050I</t>
  </si>
  <si>
    <t>, Samsung C32JG50QQI Мелкие царапины, потертости Сетевой провод, HDMI</t>
  </si>
  <si>
    <t>06680000939</t>
  </si>
  <si>
    <t>, Stels Miss Сильные Потёртрсти на ручке, мелкие царапины,грязь Крылья</t>
  </si>
  <si>
    <t>06680001106</t>
  </si>
  <si>
    <t>, STERN Mira потерто седенье, рассохлись резинки на ручках, потертости и царапины на краске звмок</t>
  </si>
  <si>
    <t>06680001167</t>
  </si>
  <si>
    <t>Сообщите вес каждого наушника и зарядного кейса: 1) 5.28 гр   2) 5.26 гр    кейс 50,28 гр, Apple AirPods Pro 2 без з/у потертости и царапинки</t>
  </si>
  <si>
    <t>06680001279</t>
  </si>
  <si>
    <t>, MSI  Modern 15 F13MG Незначительные потертости Зу Intel Core i5  1335U 942 16  Intel  Iris</t>
  </si>
  <si>
    <t>06680001431</t>
  </si>
  <si>
    <t>06680001433</t>
  </si>
  <si>
    <t>(т) Вел. Бренд: Minaka, (т) Вел. Комплектация: 2 ключа, сигнализациия, корзина, ключи, цепи для крепления, (т) Цвет велосипеда: Черный, (т) Тип велосипеда: &lt;1745000021&gt; ВЕЛОСИПЕД ТРАНСПОРТНЫЙ ДЛЯ ВЗРОСЛЫХ, (т) Вел. Товарная номенклатура (код ТНВЭД): &lt;8712003000&gt; Велосипеды двухколесные с подшипниками шариковыми, (т) Вел. Описание дефектов/недостатков: Сильные потертости, царапины</t>
  </si>
  <si>
    <t>06680001572</t>
  </si>
  <si>
    <t>, Xiaomi Redmi 14C 4 ГБ 128 ГБ Царапины на экране, потёртости, царапины на защит.стекле камеры, сверху дефектов на экране Без комплекта</t>
  </si>
  <si>
    <t>06680001574</t>
  </si>
  <si>
    <t>, Xiaomi Redmi Note 14 8 ГБ 256 ГБ Есть небольшая вмятинка около разъёма, потёртости Чехол</t>
  </si>
  <si>
    <t>06680001616</t>
  </si>
  <si>
    <t>, Huawei nova Y61 4 ГБ 128 ГБ Мелкие царапины, потертости Без Зу, чехол</t>
  </si>
  <si>
    <t>06680001621</t>
  </si>
  <si>
    <t>Состояние: Хорошее, Konka B43 Незначительные потертости Коробка, пульт, документы, провод, ножки</t>
  </si>
  <si>
    <t>06680001663</t>
  </si>
  <si>
    <t>, Samsung Galaxy S23+ 8 ГБ 256 ГБ Есть царапины на экране, покоцаны края корпуса Без комплекта</t>
  </si>
  <si>
    <t>06680001670</t>
  </si>
  <si>
    <t>Состояние: Хорошее, DELL  G3 3590 Потёртости, грязь провод питания Intel Core i5  9300H 512   Nvidia  GeForce GTX 1660Ti</t>
  </si>
  <si>
    <t>06680001802</t>
  </si>
  <si>
    <t>Состояние: Хорошее, Спец  БШУ 20-ПБ Потертости Полный комплект</t>
  </si>
  <si>
    <t>Состояние: Хорошее, Спец  БШУ-125-18ЛИ/Б Потертости, царапины Полный комплект</t>
  </si>
  <si>
    <t>06680001808</t>
  </si>
  <si>
    <t>, Xiaomi Redmi Note 9 3 ГБ 64 ГБ скол на корпусе возле зарядного отверстия, возле лотка сим, в верхней части экрана . Множество глубоких црапин и потертостей без з/у</t>
  </si>
  <si>
    <t>06680001844</t>
  </si>
  <si>
    <t>, Samsung Galaxy Note 20 Ultra 5G 12 ГБ 256 ГБ разбита задняя панель, царапины, потертости от чехла по периметру корпуса коробка+з/у</t>
  </si>
  <si>
    <t>06680001850</t>
  </si>
  <si>
    <t>; Состояние: Удовлетворительное, Huawei  DESKTOP-E5MBVIK потертости, царапины на корпусе, сбиты углы, несколько вмятин на корпусе , наклейки, царапинки на экране З/У AMD Ryzen 5  3500U with Radeon Vega 256 8  AMD  Radeon9TM)  Vega 8 Graphics</t>
  </si>
  <si>
    <t>06680001851</t>
  </si>
  <si>
    <t>Состояние: Удовлетворительное, Movix - ржавчина на болтах, потертости и царапины на краске, загрязнения, поломана пластиковая защита цепи -</t>
  </si>
  <si>
    <t>06680001868</t>
  </si>
  <si>
    <t>, Xiaomi Redmi Note 10T 4 ГБ 128 ГБ потертости и царапинки, защитное стекто повреждено коробка, з/у</t>
  </si>
  <si>
    <t>, Xiaomi Redmi 10 4 ГБ 64 ГБ потертости, царапинки коробка, чек, з/у</t>
  </si>
  <si>
    <t>06680001894</t>
  </si>
  <si>
    <t>, Honor 7A Pro 2 ГБ 16 ГБ небольшие царапинки без з/у</t>
  </si>
  <si>
    <t>Ломбард №678 Ленинградская обл., р-н Муринское, г.Мурино, бульвар Воронцовский, д.20 к.1, пом.30-Н</t>
  </si>
  <si>
    <t>06780000773</t>
  </si>
  <si>
    <t>, LG Electronics ON66 грязь следы использования документы пульт шнур</t>
  </si>
  <si>
    <t>06780001503</t>
  </si>
  <si>
    <t>Состояние: Удовлетворительное, HYBEST GSR40 чемодан аккумулятор 2 шт зарядник царапины пыль грязь</t>
  </si>
  <si>
    <t>06780001661</t>
  </si>
  <si>
    <t>, Samsung Galaxy S10+ 8 ГБ 128 ГБ Интерфейс частично на русском, частично на английском. Клиент говорит, что это американская версия. Царапины по корпусу и экрану, экран разбит в двух местах Без всего</t>
  </si>
  <si>
    <t>06780001678</t>
  </si>
  <si>
    <t>, TECNO Pova 4 Pro 8 ГБ 256 ГБ Покарябан слот для сим, потёртости, следы эксплуатации Без всего</t>
  </si>
  <si>
    <t>06780001707</t>
  </si>
  <si>
    <t>Состояние: Хорошее, Maunfeld MF-1132BL Коробка, две насадки, инструкции</t>
  </si>
  <si>
    <t>93690000960</t>
  </si>
  <si>
    <t>, Honor  BRN-FXXC Незначительные потертости Зу Intel Core i5  12450H  8</t>
  </si>
  <si>
    <t>93690000980</t>
  </si>
  <si>
    <t>, Apple iPhone 15 Plus  128 ГБ АКБ 100 оценка 36000 чек гарантия коробка зу</t>
  </si>
  <si>
    <t>93690000983</t>
  </si>
  <si>
    <t>Состояние: Отличное, Dji Ronin RS3 mini - - коробка докум зу</t>
  </si>
  <si>
    <t>93690001041</t>
  </si>
  <si>
    <t>Состояние: Хорошее, LG 43UK6200PLA следы экспл пульт зу</t>
  </si>
  <si>
    <t>Ломбард №680 г. Санкт-Петербург, п.Парголово, ул.Николая Рубцова, д.9 л.А, пом. 57-Н</t>
  </si>
  <si>
    <t>06800000845</t>
  </si>
  <si>
    <t>Производитель: JBL, Укажите комплектацию: Без комплекта, Недостатки: Потёртости</t>
  </si>
  <si>
    <t>06800000846</t>
  </si>
  <si>
    <t>Производитель: Яндекс, Серийный номер: 2341F01289120K, Укажите комплектацию: Коробка, есть з/, документы, Недостатки: Следы использования</t>
  </si>
  <si>
    <t>Ломбард №688 г. Санкт-Петербург, МО Коломяги, Комендантский пр-кт, дом 66 к. 1 стр.1 пом. 32-Н</t>
  </si>
  <si>
    <t>06880000034</t>
  </si>
  <si>
    <t>Тип видеоадаптера: Встроенный+Дискретный, Ardor Gaming MS3 WG - Фирменная коробка, кабель питания Intel Core i5  12400F 32  954 Nvidia  GeForce RTX 3060</t>
  </si>
  <si>
    <t>06880000090</t>
  </si>
  <si>
    <t>, Elitech ASF 300-24s Без всего Потер царап грязь следы эксп</t>
  </si>
  <si>
    <t>06880000108</t>
  </si>
  <si>
    <t>, harman/kardon Aura Studio 3 Кабель питания Царапины и потертости по корпусу</t>
  </si>
  <si>
    <t>06880000114</t>
  </si>
  <si>
    <t>Гравер</t>
  </si>
  <si>
    <t>, Dexter PC150MD Есть следы эксплуатации Кейс, набор насадок</t>
  </si>
  <si>
    <t>06880000117</t>
  </si>
  <si>
    <t>Состояние: Хорошее, Sony PlayStation 5 Slim (CFI-2016) 1Tb Незначительные потертости на корпусе Фирменная коробка, HDMI, кабель питания + евро вилка, 1 геймпад</t>
  </si>
  <si>
    <t>06880000127</t>
  </si>
  <si>
    <t>Kona MAGMA Грязь, потертости по всему корпусу, сильные на педалях -</t>
  </si>
  <si>
    <t>06880000137</t>
  </si>
  <si>
    <t>Poco Poco C61 3 128 Мелкие потертости на корпусе , следы эксплуатации Без комплекта</t>
  </si>
  <si>
    <t>06880000203</t>
  </si>
  <si>
    <t>Состояние: Удовлетворительное, LG Electronics 33LM576BPLD Пульт без задней крышки,  затертый, по телевизору зору потертости сильный запах табака, жирные следы на экране.. Коробка, ножки, пульт, документы</t>
  </si>
  <si>
    <t>06880000240</t>
  </si>
  <si>
    <t>; Состояние: Плохое, Lenovo  IdeaPadZ510. 20287 Сильные следы эксплуатации, по корпусу , диск поменян, камера не работает, слетает информация с экрана ЗУ Intel Core i5  I4209M CPU 2.5?GHz 128 8  Intel  Intel HD Graphics 4600</t>
  </si>
  <si>
    <t>93690000860</t>
  </si>
  <si>
    <t>, TEFAL 8355 s1 на ней стоят тифлоновые антипригарные пластины следы жира есть на обратной стороне</t>
  </si>
  <si>
    <t>93690000861</t>
  </si>
  <si>
    <t>, AEG  WS 6-125 есть следы экспл две ручки ключ  зу</t>
  </si>
  <si>
    <t>Ломбард №689 г. Санкт-Петербург, вн.тер.г. МО Гавань, б-р Головнина, д. 3 к. 1 стр. 1</t>
  </si>
  <si>
    <t>06890000117</t>
  </si>
  <si>
    <t>, СПЕЦ БПЭ-620 Следы эксплуатации, потертости Отсутствует</t>
  </si>
  <si>
    <t>93690000941</t>
  </si>
  <si>
    <t>, ASUS Sistem Product Name мин.следы экспл. провод питания Intel Core i5  12400F 16  476 Nvidia  GeForce RTX 3050</t>
  </si>
  <si>
    <t>93690000944</t>
  </si>
  <si>
    <t>, Philips 322E1C небольш.следы экспл. ножка, провод питания+HDMI</t>
  </si>
  <si>
    <t>Ломбард №694; г.Санкт-Петербург, п.Парголово, ул. Архитектора Белова, д.6 к.3 стр.1 пом. 3Н</t>
  </si>
  <si>
    <t>93690000951</t>
  </si>
  <si>
    <t>, Wentbox U3Pro Нет педалей, ржавчина, потертости Ключи 2 комплекта, новый комплект резины, Зу, батарея съемная, багажник, документы, чек, зеркало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</si>
</sst>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04"/>
      <scheme val="minor"/>
    </font>
    <font>
      <sz val="10"/>
      <name val="Arial"/>
      <family val="2"/>
      <charset val="204"/>
    </font>
    <font>
      <sz val="8"/>
      <name val="Arial"/>
      <family val="2"/>
    </font>
    <font>
      <sz val="10"/>
      <name val="Arial"/>
      <family val="2"/>
      <charset val="204"/>
    </font>
  </fonts>
  <fills count="4">
    <fill>
      <patternFill patternType="none"/>
    </fill>
    <fill>
      <patternFill patternType="gray125"/>
    </fill>
    <fill>
      <patternFill patternType="solid">
        <fgColor indexed="26"/>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2" fillId="0" borderId="0"/>
  </cellStyleXfs>
  <cellXfs count="13">
    <xf numFmtId="0" fontId="0" fillId="0" borderId="0" xfId="0"/>
    <xf numFmtId="0" fontId="0" fillId="0" borderId="0" xfId="0" applyAlignment="1">
      <alignment wrapText="1"/>
    </xf>
    <xf numFmtId="1" fontId="0" fillId="0" borderId="0" xfId="0" applyNumberFormat="1" applyAlignment="1">
      <alignment wrapText="1"/>
    </xf>
    <xf numFmtId="0" fontId="0" fillId="0" borderId="1" xfId="0" applyBorder="1" applyAlignment="1">
      <alignment wrapText="1"/>
    </xf>
    <xf numFmtId="1" fontId="0" fillId="0" borderId="1" xfId="0" applyNumberFormat="1" applyBorder="1" applyAlignment="1">
      <alignment wrapText="1"/>
    </xf>
    <xf numFmtId="0" fontId="1" fillId="2" borderId="2" xfId="0" applyFont="1" applyFill="1" applyBorder="1" applyAlignment="1">
      <alignment vertical="top" wrapText="1"/>
    </xf>
    <xf numFmtId="0" fontId="3" fillId="3" borderId="2" xfId="1" applyFont="1" applyFill="1" applyBorder="1" applyAlignment="1">
      <alignment vertical="top" wrapText="1"/>
    </xf>
    <xf numFmtId="0" fontId="3" fillId="2" borderId="2" xfId="1" applyFont="1" applyFill="1" applyBorder="1" applyAlignment="1">
      <alignment vertical="top" wrapText="1"/>
    </xf>
    <xf numFmtId="0" fontId="0" fillId="0" borderId="3" xfId="0" applyBorder="1"/>
    <xf numFmtId="3" fontId="1" fillId="2" borderId="2" xfId="0" applyNumberFormat="1" applyFont="1" applyFill="1" applyBorder="1" applyAlignment="1">
      <alignment horizontal="center" vertical="top" wrapText="1"/>
    </xf>
    <xf numFmtId="3" fontId="1" fillId="2" borderId="2" xfId="1" applyNumberFormat="1" applyFont="1" applyFill="1" applyBorder="1" applyAlignment="1">
      <alignment horizontal="center" vertical="top" wrapText="1"/>
    </xf>
    <xf numFmtId="3" fontId="0" fillId="0" borderId="1" xfId="0" applyNumberFormat="1" applyBorder="1" applyAlignment="1">
      <alignment horizontal="center" wrapText="1"/>
    </xf>
    <xf numFmtId="3" fontId="0" fillId="0" borderId="0" xfId="0" applyNumberFormat="1" applyAlignment="1">
      <alignment horizontal="center" wrapText="1"/>
    </xf>
  </cellXfs>
  <cellStyles count="2">
    <cellStyle name="Обычный" xfId="0" builtinId="0"/>
    <cellStyle name="Обычный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50"/>
  <sheetViews>
    <sheetView tabSelected="1" topLeftCell="B1" zoomScale="70" zoomScaleNormal="70" workbookViewId="0">
      <pane ySplit="1" topLeftCell="A2" activePane="bottomLeft" state="frozen"/>
      <selection activeCell="B1" sqref="B1"/>
      <selection pane="bottomLeft" activeCell="B1" sqref="B1"/>
    </sheetView>
  </sheetViews>
  <sheetFormatPr defaultRowHeight="39" customHeight="1" x14ac:dyDescent="0.25"/>
  <cols>
    <col min="1" max="1" width="9.140625" hidden="1" customWidth="1"/>
    <col min="2" max="2" width="29.140625" style="1" customWidth="1"/>
    <col min="3" max="3" width="45.5703125" style="1" customWidth="1"/>
    <col min="4" max="4" width="25.7109375" style="1" customWidth="1"/>
    <col min="5" max="5" width="13.5703125" style="1" customWidth="1"/>
    <col min="6" max="6" width="19.28515625" style="1" customWidth="1"/>
    <col min="7" max="7" width="54.7109375" style="1" customWidth="1"/>
    <col min="8" max="8" width="14.85546875" style="12" customWidth="1"/>
    <col min="9" max="9" width="15" style="12" customWidth="1"/>
    <col min="10" max="10" width="31.28515625" style="1" customWidth="1"/>
    <col min="11" max="11" width="40.5703125" style="1" customWidth="1"/>
    <col min="12" max="12" width="19.7109375" style="1" customWidth="1"/>
    <col min="13" max="13" width="18.5703125" style="1" customWidth="1"/>
    <col min="14" max="14" width="16.85546875" style="1" customWidth="1"/>
  </cols>
  <sheetData>
    <row r="1" spans="1:14" ht="78.75" customHeight="1" x14ac:dyDescent="0.25">
      <c r="A1" t="s">
        <v>0</v>
      </c>
      <c r="B1" s="5" t="s">
        <v>1</v>
      </c>
      <c r="C1" s="5" t="s">
        <v>2</v>
      </c>
      <c r="D1" s="5" t="s">
        <v>13</v>
      </c>
      <c r="E1" s="5" t="s">
        <v>3</v>
      </c>
      <c r="F1" s="5" t="s">
        <v>4</v>
      </c>
      <c r="G1" s="5" t="s">
        <v>5</v>
      </c>
      <c r="H1" s="9" t="s">
        <v>6</v>
      </c>
      <c r="I1" s="10" t="s">
        <v>7</v>
      </c>
      <c r="J1" s="6" t="s">
        <v>8</v>
      </c>
      <c r="K1" s="6" t="s">
        <v>9</v>
      </c>
      <c r="L1" s="6" t="s">
        <v>10</v>
      </c>
      <c r="M1" s="6" t="s">
        <v>11</v>
      </c>
      <c r="N1" s="7" t="s">
        <v>12</v>
      </c>
    </row>
    <row r="2" spans="1:14" ht="39" customHeight="1" x14ac:dyDescent="0.25">
      <c r="A2" s="8" t="str">
        <f>E2&amp;H2</f>
        <v>000500046172500</v>
      </c>
      <c r="B2" s="3" t="s">
        <v>84</v>
      </c>
      <c r="C2" s="3" t="s">
        <v>85</v>
      </c>
      <c r="D2" s="3"/>
      <c r="E2" s="3" t="s">
        <v>86</v>
      </c>
      <c r="F2" s="3" t="s">
        <v>43</v>
      </c>
      <c r="G2" s="3" t="s">
        <v>87</v>
      </c>
      <c r="H2" s="11">
        <v>2500</v>
      </c>
      <c r="I2" s="11"/>
      <c r="J2" s="3"/>
      <c r="K2" s="3"/>
      <c r="L2" s="3"/>
      <c r="M2" s="3"/>
      <c r="N2" s="4">
        <f t="shared" ref="N2:N28" si="0">IFERROR(((I2*100)/H2)-100,"")</f>
        <v>-100</v>
      </c>
    </row>
    <row r="3" spans="1:14" ht="39" customHeight="1" x14ac:dyDescent="0.25">
      <c r="A3" t="e">
        <f>#REF!&amp;#REF!</f>
        <v>#REF!</v>
      </c>
      <c r="B3" s="3" t="s">
        <v>84</v>
      </c>
      <c r="C3" s="3" t="s">
        <v>85</v>
      </c>
      <c r="D3" s="3"/>
      <c r="E3" s="3" t="s">
        <v>88</v>
      </c>
      <c r="F3" s="3" t="s">
        <v>25</v>
      </c>
      <c r="G3" s="3" t="s">
        <v>89</v>
      </c>
      <c r="H3" s="11">
        <v>21000</v>
      </c>
      <c r="I3" s="11"/>
      <c r="J3" s="3"/>
      <c r="K3" s="3"/>
      <c r="L3" s="3"/>
      <c r="M3" s="3"/>
      <c r="N3" s="4">
        <f t="shared" si="0"/>
        <v>-100</v>
      </c>
    </row>
    <row r="4" spans="1:14" ht="39" customHeight="1" x14ac:dyDescent="0.25">
      <c r="A4" t="e">
        <f>#REF!&amp;#REF!</f>
        <v>#REF!</v>
      </c>
      <c r="B4" s="3" t="s">
        <v>84</v>
      </c>
      <c r="C4" s="3" t="s">
        <v>85</v>
      </c>
      <c r="D4" s="3"/>
      <c r="E4" s="3" t="s">
        <v>88</v>
      </c>
      <c r="F4" s="3" t="s">
        <v>22</v>
      </c>
      <c r="G4" s="3" t="s">
        <v>90</v>
      </c>
      <c r="H4" s="11">
        <v>7800</v>
      </c>
      <c r="I4" s="11"/>
      <c r="J4" s="3"/>
      <c r="K4" s="3"/>
      <c r="L4" s="3"/>
      <c r="M4" s="3"/>
      <c r="N4" s="4">
        <f t="shared" si="0"/>
        <v>-100</v>
      </c>
    </row>
    <row r="5" spans="1:14" ht="39" customHeight="1" x14ac:dyDescent="0.25">
      <c r="A5" t="e">
        <f>#REF!&amp;#REF!</f>
        <v>#REF!</v>
      </c>
      <c r="B5" s="3" t="s">
        <v>84</v>
      </c>
      <c r="C5" s="3" t="s">
        <v>85</v>
      </c>
      <c r="D5" s="3"/>
      <c r="E5" s="3" t="s">
        <v>91</v>
      </c>
      <c r="F5" s="3" t="s">
        <v>43</v>
      </c>
      <c r="G5" s="3" t="s">
        <v>92</v>
      </c>
      <c r="H5" s="11">
        <v>800</v>
      </c>
      <c r="I5" s="11"/>
      <c r="J5" s="3"/>
      <c r="K5" s="3"/>
      <c r="L5" s="3"/>
      <c r="M5" s="3"/>
      <c r="N5" s="4">
        <f t="shared" si="0"/>
        <v>-100</v>
      </c>
    </row>
    <row r="6" spans="1:14" ht="43.5" customHeight="1" x14ac:dyDescent="0.25">
      <c r="A6" t="e">
        <f>#REF!&amp;#REF!</f>
        <v>#REF!</v>
      </c>
      <c r="B6" s="3" t="s">
        <v>84</v>
      </c>
      <c r="C6" s="3" t="s">
        <v>85</v>
      </c>
      <c r="D6" s="3"/>
      <c r="E6" s="3" t="s">
        <v>93</v>
      </c>
      <c r="F6" s="3" t="s">
        <v>22</v>
      </c>
      <c r="G6" s="3" t="s">
        <v>94</v>
      </c>
      <c r="H6" s="11">
        <v>5200</v>
      </c>
      <c r="I6" s="11"/>
      <c r="J6" s="3"/>
      <c r="K6" s="3"/>
      <c r="L6" s="3"/>
      <c r="M6" s="3"/>
      <c r="N6" s="4">
        <f t="shared" si="0"/>
        <v>-100</v>
      </c>
    </row>
    <row r="7" spans="1:14" ht="39" customHeight="1" x14ac:dyDescent="0.25">
      <c r="A7" t="e">
        <f>#REF!&amp;#REF!</f>
        <v>#REF!</v>
      </c>
      <c r="B7" s="3" t="s">
        <v>84</v>
      </c>
      <c r="C7" s="3" t="s">
        <v>85</v>
      </c>
      <c r="D7" s="3"/>
      <c r="E7" s="3" t="s">
        <v>95</v>
      </c>
      <c r="F7" s="3" t="s">
        <v>22</v>
      </c>
      <c r="G7" s="3" t="s">
        <v>96</v>
      </c>
      <c r="H7" s="11">
        <v>2100</v>
      </c>
      <c r="I7" s="11"/>
      <c r="J7" s="3"/>
      <c r="K7" s="3"/>
      <c r="L7" s="3"/>
      <c r="M7" s="3"/>
      <c r="N7" s="4">
        <f t="shared" si="0"/>
        <v>-100</v>
      </c>
    </row>
    <row r="8" spans="1:14" ht="39" customHeight="1" x14ac:dyDescent="0.25">
      <c r="A8" t="e">
        <f>#REF!&amp;#REF!</f>
        <v>#REF!</v>
      </c>
      <c r="B8" s="3" t="s">
        <v>84</v>
      </c>
      <c r="C8" s="3" t="s">
        <v>85</v>
      </c>
      <c r="D8" s="3"/>
      <c r="E8" s="3" t="s">
        <v>97</v>
      </c>
      <c r="F8" s="3" t="s">
        <v>22</v>
      </c>
      <c r="G8" s="3" t="s">
        <v>98</v>
      </c>
      <c r="H8" s="11">
        <v>500</v>
      </c>
      <c r="I8" s="11"/>
      <c r="J8" s="3"/>
      <c r="K8" s="3"/>
      <c r="L8" s="3"/>
      <c r="M8" s="3"/>
      <c r="N8" s="4">
        <f t="shared" si="0"/>
        <v>-100</v>
      </c>
    </row>
    <row r="9" spans="1:14" ht="39" customHeight="1" x14ac:dyDescent="0.25">
      <c r="A9" t="e">
        <f>#REF!&amp;#REF!</f>
        <v>#REF!</v>
      </c>
      <c r="B9" s="3" t="s">
        <v>84</v>
      </c>
      <c r="C9" s="3" t="s">
        <v>85</v>
      </c>
      <c r="D9" s="3"/>
      <c r="E9" s="3" t="s">
        <v>99</v>
      </c>
      <c r="F9" s="3" t="s">
        <v>22</v>
      </c>
      <c r="G9" s="3" t="s">
        <v>100</v>
      </c>
      <c r="H9" s="11">
        <v>1600</v>
      </c>
      <c r="I9" s="11"/>
      <c r="J9" s="3"/>
      <c r="K9" s="3"/>
      <c r="L9" s="3"/>
      <c r="M9" s="3"/>
      <c r="N9" s="4">
        <f t="shared" si="0"/>
        <v>-100</v>
      </c>
    </row>
    <row r="10" spans="1:14" ht="39" customHeight="1" x14ac:dyDescent="0.25">
      <c r="A10" t="e">
        <f>#REF!&amp;#REF!</f>
        <v>#REF!</v>
      </c>
      <c r="B10" s="3" t="s">
        <v>84</v>
      </c>
      <c r="C10" s="3" t="s">
        <v>85</v>
      </c>
      <c r="D10" s="3"/>
      <c r="E10" s="3" t="s">
        <v>101</v>
      </c>
      <c r="F10" s="3" t="s">
        <v>23</v>
      </c>
      <c r="G10" s="3" t="s">
        <v>102</v>
      </c>
      <c r="H10" s="11">
        <v>2500</v>
      </c>
      <c r="I10" s="11"/>
      <c r="J10" s="3"/>
      <c r="K10" s="3"/>
      <c r="L10" s="3"/>
      <c r="M10" s="3"/>
      <c r="N10" s="4">
        <f t="shared" si="0"/>
        <v>-100</v>
      </c>
    </row>
    <row r="11" spans="1:14" ht="39" customHeight="1" x14ac:dyDescent="0.25">
      <c r="A11" t="e">
        <f>#REF!&amp;#REF!</f>
        <v>#REF!</v>
      </c>
      <c r="B11" s="3" t="s">
        <v>84</v>
      </c>
      <c r="C11" s="3" t="s">
        <v>85</v>
      </c>
      <c r="D11" s="3"/>
      <c r="E11" s="3" t="s">
        <v>103</v>
      </c>
      <c r="F11" s="3" t="s">
        <v>20</v>
      </c>
      <c r="G11" s="3" t="s">
        <v>104</v>
      </c>
      <c r="H11" s="11">
        <v>6500</v>
      </c>
      <c r="I11" s="11"/>
      <c r="J11" s="3"/>
      <c r="K11" s="3"/>
      <c r="L11" s="3"/>
      <c r="M11" s="3"/>
      <c r="N11" s="4">
        <f t="shared" si="0"/>
        <v>-100</v>
      </c>
    </row>
    <row r="12" spans="1:14" ht="39" customHeight="1" x14ac:dyDescent="0.25">
      <c r="A12" t="e">
        <f>#REF!&amp;#REF!</f>
        <v>#REF!</v>
      </c>
      <c r="B12" s="3" t="s">
        <v>84</v>
      </c>
      <c r="C12" s="3" t="s">
        <v>105</v>
      </c>
      <c r="D12" s="3"/>
      <c r="E12" s="3" t="s">
        <v>106</v>
      </c>
      <c r="F12" s="3" t="s">
        <v>30</v>
      </c>
      <c r="G12" s="3" t="s">
        <v>107</v>
      </c>
      <c r="H12" s="11">
        <v>3000</v>
      </c>
      <c r="I12" s="11"/>
      <c r="J12" s="3"/>
      <c r="K12" s="3"/>
      <c r="L12" s="3"/>
      <c r="M12" s="3"/>
      <c r="N12" s="4">
        <f t="shared" si="0"/>
        <v>-100</v>
      </c>
    </row>
    <row r="13" spans="1:14" ht="39" customHeight="1" x14ac:dyDescent="0.25">
      <c r="A13" t="e">
        <f>#REF!&amp;#REF!</f>
        <v>#REF!</v>
      </c>
      <c r="B13" s="3" t="s">
        <v>84</v>
      </c>
      <c r="C13" s="3" t="s">
        <v>105</v>
      </c>
      <c r="D13" s="3"/>
      <c r="E13" s="3" t="s">
        <v>108</v>
      </c>
      <c r="F13" s="3" t="s">
        <v>22</v>
      </c>
      <c r="G13" s="3" t="s">
        <v>109</v>
      </c>
      <c r="H13" s="11">
        <v>4400</v>
      </c>
      <c r="I13" s="11"/>
      <c r="J13" s="3"/>
      <c r="K13" s="3"/>
      <c r="L13" s="3"/>
      <c r="M13" s="3"/>
      <c r="N13" s="4">
        <f t="shared" si="0"/>
        <v>-100</v>
      </c>
    </row>
    <row r="14" spans="1:14" ht="39" customHeight="1" x14ac:dyDescent="0.25">
      <c r="A14" t="e">
        <f>#REF!&amp;#REF!</f>
        <v>#REF!</v>
      </c>
      <c r="B14" s="3" t="s">
        <v>84</v>
      </c>
      <c r="C14" s="3" t="s">
        <v>105</v>
      </c>
      <c r="D14" s="3"/>
      <c r="E14" s="3" t="s">
        <v>110</v>
      </c>
      <c r="F14" s="3" t="s">
        <v>48</v>
      </c>
      <c r="G14" s="3" t="s">
        <v>111</v>
      </c>
      <c r="H14" s="11">
        <v>2600</v>
      </c>
      <c r="I14" s="11"/>
      <c r="J14" s="3"/>
      <c r="K14" s="3"/>
      <c r="L14" s="3"/>
      <c r="M14" s="3"/>
      <c r="N14" s="4">
        <f t="shared" si="0"/>
        <v>-100</v>
      </c>
    </row>
    <row r="15" spans="1:14" ht="39" customHeight="1" x14ac:dyDescent="0.25">
      <c r="A15" t="e">
        <f>#REF!&amp;#REF!</f>
        <v>#REF!</v>
      </c>
      <c r="B15" s="3" t="s">
        <v>84</v>
      </c>
      <c r="C15" s="3" t="s">
        <v>105</v>
      </c>
      <c r="D15" s="3"/>
      <c r="E15" s="3" t="s">
        <v>112</v>
      </c>
      <c r="F15" s="3" t="s">
        <v>32</v>
      </c>
      <c r="G15" s="3" t="s">
        <v>113</v>
      </c>
      <c r="H15" s="11">
        <v>3000</v>
      </c>
      <c r="I15" s="11"/>
      <c r="J15" s="3"/>
      <c r="K15" s="3"/>
      <c r="L15" s="3"/>
      <c r="M15" s="3"/>
      <c r="N15" s="4">
        <f t="shared" si="0"/>
        <v>-100</v>
      </c>
    </row>
    <row r="16" spans="1:14" ht="39" customHeight="1" x14ac:dyDescent="0.25">
      <c r="A16" t="e">
        <f>#REF!&amp;#REF!</f>
        <v>#REF!</v>
      </c>
      <c r="B16" s="3" t="s">
        <v>84</v>
      </c>
      <c r="C16" s="3" t="s">
        <v>105</v>
      </c>
      <c r="D16" s="3"/>
      <c r="E16" s="3" t="s">
        <v>114</v>
      </c>
      <c r="F16" s="3" t="s">
        <v>22</v>
      </c>
      <c r="G16" s="3" t="s">
        <v>115</v>
      </c>
      <c r="H16" s="11">
        <v>4200</v>
      </c>
      <c r="I16" s="11"/>
      <c r="J16" s="3"/>
      <c r="K16" s="3"/>
      <c r="L16" s="3"/>
      <c r="M16" s="3"/>
      <c r="N16" s="4">
        <f t="shared" si="0"/>
        <v>-100</v>
      </c>
    </row>
    <row r="17" spans="1:14" ht="39" customHeight="1" x14ac:dyDescent="0.25">
      <c r="A17" t="e">
        <f>#REF!&amp;#REF!</f>
        <v>#REF!</v>
      </c>
      <c r="B17" s="3" t="s">
        <v>84</v>
      </c>
      <c r="C17" s="3" t="s">
        <v>105</v>
      </c>
      <c r="D17" s="3"/>
      <c r="E17" s="3" t="s">
        <v>116</v>
      </c>
      <c r="F17" s="3" t="s">
        <v>22</v>
      </c>
      <c r="G17" s="3" t="s">
        <v>117</v>
      </c>
      <c r="H17" s="11">
        <v>2900</v>
      </c>
      <c r="I17" s="11"/>
      <c r="J17" s="3"/>
      <c r="K17" s="3"/>
      <c r="L17" s="3"/>
      <c r="M17" s="3"/>
      <c r="N17" s="4">
        <f t="shared" si="0"/>
        <v>-100</v>
      </c>
    </row>
    <row r="18" spans="1:14" ht="39" customHeight="1" x14ac:dyDescent="0.25">
      <c r="A18" t="e">
        <f>#REF!&amp;#REF!</f>
        <v>#REF!</v>
      </c>
      <c r="B18" s="3" t="s">
        <v>84</v>
      </c>
      <c r="C18" s="3" t="s">
        <v>105</v>
      </c>
      <c r="D18" s="3"/>
      <c r="E18" s="3" t="s">
        <v>118</v>
      </c>
      <c r="F18" s="3" t="s">
        <v>19</v>
      </c>
      <c r="G18" s="3" t="s">
        <v>119</v>
      </c>
      <c r="H18" s="11">
        <v>2000</v>
      </c>
      <c r="I18" s="11"/>
      <c r="J18" s="3"/>
      <c r="K18" s="3"/>
      <c r="L18" s="3"/>
      <c r="M18" s="3"/>
      <c r="N18" s="4">
        <f t="shared" si="0"/>
        <v>-100</v>
      </c>
    </row>
    <row r="19" spans="1:14" ht="39" customHeight="1" x14ac:dyDescent="0.25">
      <c r="A19" t="e">
        <f>#REF!&amp;#REF!</f>
        <v>#REF!</v>
      </c>
      <c r="B19" s="3" t="s">
        <v>84</v>
      </c>
      <c r="C19" s="3" t="s">
        <v>105</v>
      </c>
      <c r="D19" s="3"/>
      <c r="E19" s="3" t="s">
        <v>120</v>
      </c>
      <c r="F19" s="3" t="s">
        <v>22</v>
      </c>
      <c r="G19" s="3" t="s">
        <v>121</v>
      </c>
      <c r="H19" s="11">
        <v>4000</v>
      </c>
      <c r="I19" s="11" t="s">
        <v>26</v>
      </c>
      <c r="J19" s="3"/>
      <c r="K19" s="3"/>
      <c r="L19" s="3"/>
      <c r="M19" s="3"/>
      <c r="N19" s="4" t="str">
        <f t="shared" si="0"/>
        <v/>
      </c>
    </row>
    <row r="20" spans="1:14" ht="39" customHeight="1" x14ac:dyDescent="0.25">
      <c r="A20" t="e">
        <f>#REF!&amp;#REF!</f>
        <v>#REF!</v>
      </c>
      <c r="B20" s="3" t="s">
        <v>84</v>
      </c>
      <c r="C20" s="3" t="s">
        <v>105</v>
      </c>
      <c r="D20" s="3"/>
      <c r="E20" s="3" t="s">
        <v>122</v>
      </c>
      <c r="F20" s="3" t="s">
        <v>22</v>
      </c>
      <c r="G20" s="3" t="s">
        <v>123</v>
      </c>
      <c r="H20" s="11">
        <v>4600</v>
      </c>
      <c r="I20" s="11"/>
      <c r="J20" s="3"/>
      <c r="K20" s="3"/>
      <c r="L20" s="3"/>
      <c r="M20" s="3"/>
      <c r="N20" s="4">
        <f t="shared" si="0"/>
        <v>-100</v>
      </c>
    </row>
    <row r="21" spans="1:14" ht="39" customHeight="1" x14ac:dyDescent="0.25">
      <c r="A21" t="e">
        <f>#REF!&amp;#REF!</f>
        <v>#REF!</v>
      </c>
      <c r="B21" s="3" t="s">
        <v>84</v>
      </c>
      <c r="C21" s="3" t="s">
        <v>105</v>
      </c>
      <c r="D21" s="3"/>
      <c r="E21" s="3" t="s">
        <v>124</v>
      </c>
      <c r="F21" s="3" t="s">
        <v>30</v>
      </c>
      <c r="G21" s="3" t="s">
        <v>125</v>
      </c>
      <c r="H21" s="11">
        <v>13000</v>
      </c>
      <c r="I21" s="11"/>
      <c r="J21" s="3"/>
      <c r="K21" s="3"/>
      <c r="L21" s="3"/>
      <c r="M21" s="3"/>
      <c r="N21" s="4">
        <f t="shared" si="0"/>
        <v>-100</v>
      </c>
    </row>
    <row r="22" spans="1:14" ht="39" customHeight="1" x14ac:dyDescent="0.25">
      <c r="A22" t="e">
        <f>#REF!&amp;#REF!</f>
        <v>#REF!</v>
      </c>
      <c r="B22" s="3" t="s">
        <v>84</v>
      </c>
      <c r="C22" s="3" t="s">
        <v>105</v>
      </c>
      <c r="D22" s="3"/>
      <c r="E22" s="3" t="s">
        <v>126</v>
      </c>
      <c r="F22" s="3" t="s">
        <v>38</v>
      </c>
      <c r="G22" s="3" t="s">
        <v>127</v>
      </c>
      <c r="H22" s="11">
        <v>2000</v>
      </c>
      <c r="I22" s="11"/>
      <c r="J22" s="3"/>
      <c r="K22" s="3"/>
      <c r="L22" s="3"/>
      <c r="M22" s="3"/>
      <c r="N22" s="4">
        <f t="shared" si="0"/>
        <v>-100</v>
      </c>
    </row>
    <row r="23" spans="1:14" ht="39" customHeight="1" x14ac:dyDescent="0.25">
      <c r="A23" t="e">
        <f>#REF!&amp;#REF!</f>
        <v>#REF!</v>
      </c>
      <c r="B23" s="3" t="s">
        <v>84</v>
      </c>
      <c r="C23" s="3" t="s">
        <v>128</v>
      </c>
      <c r="D23" s="3"/>
      <c r="E23" s="3" t="s">
        <v>129</v>
      </c>
      <c r="F23" s="3" t="s">
        <v>22</v>
      </c>
      <c r="G23" s="3" t="s">
        <v>130</v>
      </c>
      <c r="H23" s="11">
        <v>7500</v>
      </c>
      <c r="I23" s="11"/>
      <c r="J23" s="3"/>
      <c r="K23" s="3"/>
      <c r="L23" s="3"/>
      <c r="M23" s="3"/>
      <c r="N23" s="4">
        <f t="shared" si="0"/>
        <v>-100</v>
      </c>
    </row>
    <row r="24" spans="1:14" ht="39" customHeight="1" x14ac:dyDescent="0.25">
      <c r="A24" t="e">
        <f>#REF!&amp;#REF!</f>
        <v>#REF!</v>
      </c>
      <c r="B24" s="3" t="s">
        <v>84</v>
      </c>
      <c r="C24" s="3" t="s">
        <v>131</v>
      </c>
      <c r="D24" s="3"/>
      <c r="E24" s="3" t="s">
        <v>132</v>
      </c>
      <c r="F24" s="3" t="s">
        <v>31</v>
      </c>
      <c r="G24" s="3" t="s">
        <v>133</v>
      </c>
      <c r="H24" s="11">
        <v>300</v>
      </c>
      <c r="I24" s="11"/>
      <c r="J24" s="3"/>
      <c r="K24" s="3"/>
      <c r="L24" s="3"/>
      <c r="M24" s="3"/>
      <c r="N24" s="4">
        <f t="shared" si="0"/>
        <v>-100</v>
      </c>
    </row>
    <row r="25" spans="1:14" ht="39" customHeight="1" x14ac:dyDescent="0.25">
      <c r="A25" t="e">
        <f>#REF!&amp;#REF!</f>
        <v>#REF!</v>
      </c>
      <c r="B25" s="3" t="s">
        <v>84</v>
      </c>
      <c r="C25" s="3" t="s">
        <v>131</v>
      </c>
      <c r="D25" s="3"/>
      <c r="E25" s="3" t="s">
        <v>132</v>
      </c>
      <c r="F25" s="3" t="s">
        <v>32</v>
      </c>
      <c r="G25" s="3" t="s">
        <v>134</v>
      </c>
      <c r="H25" s="11">
        <v>400</v>
      </c>
      <c r="I25" s="11"/>
      <c r="J25" s="3"/>
      <c r="K25" s="3"/>
      <c r="L25" s="3"/>
      <c r="M25" s="3"/>
      <c r="N25" s="4">
        <f t="shared" si="0"/>
        <v>-100</v>
      </c>
    </row>
    <row r="26" spans="1:14" ht="39" customHeight="1" x14ac:dyDescent="0.25">
      <c r="A26" t="e">
        <f>#REF!&amp;#REF!</f>
        <v>#REF!</v>
      </c>
      <c r="B26" s="3" t="s">
        <v>84</v>
      </c>
      <c r="C26" s="3" t="s">
        <v>131</v>
      </c>
      <c r="D26" s="3"/>
      <c r="E26" s="3" t="s">
        <v>135</v>
      </c>
      <c r="F26" s="3" t="s">
        <v>25</v>
      </c>
      <c r="G26" s="3" t="s">
        <v>136</v>
      </c>
      <c r="H26" s="11">
        <v>3000</v>
      </c>
      <c r="I26" s="11"/>
      <c r="J26" s="3"/>
      <c r="K26" s="3"/>
      <c r="L26" s="3"/>
      <c r="M26" s="3"/>
      <c r="N26" s="4">
        <f t="shared" si="0"/>
        <v>-100</v>
      </c>
    </row>
    <row r="27" spans="1:14" ht="39" customHeight="1" x14ac:dyDescent="0.25">
      <c r="A27" t="e">
        <f>#REF!&amp;#REF!</f>
        <v>#REF!</v>
      </c>
      <c r="B27" s="3" t="s">
        <v>84</v>
      </c>
      <c r="C27" s="3" t="s">
        <v>131</v>
      </c>
      <c r="D27" s="3"/>
      <c r="E27" s="3" t="s">
        <v>137</v>
      </c>
      <c r="F27" s="3" t="s">
        <v>43</v>
      </c>
      <c r="G27" s="3" t="s">
        <v>138</v>
      </c>
      <c r="H27" s="11">
        <v>1000</v>
      </c>
      <c r="I27" s="11"/>
      <c r="J27" s="3"/>
      <c r="K27" s="3"/>
      <c r="L27" s="3"/>
      <c r="M27" s="3"/>
      <c r="N27" s="4">
        <f t="shared" si="0"/>
        <v>-100</v>
      </c>
    </row>
    <row r="28" spans="1:14" ht="39" customHeight="1" x14ac:dyDescent="0.25">
      <c r="A28" t="e">
        <f>#REF!&amp;#REF!</f>
        <v>#REF!</v>
      </c>
      <c r="B28" s="3" t="s">
        <v>84</v>
      </c>
      <c r="C28" s="3" t="s">
        <v>131</v>
      </c>
      <c r="D28" s="3"/>
      <c r="E28" s="3" t="s">
        <v>139</v>
      </c>
      <c r="F28" s="3" t="s">
        <v>19</v>
      </c>
      <c r="G28" s="3" t="s">
        <v>140</v>
      </c>
      <c r="H28" s="11">
        <v>2000</v>
      </c>
      <c r="I28" s="11"/>
      <c r="J28" s="3"/>
      <c r="K28" s="3"/>
      <c r="L28" s="3"/>
      <c r="M28" s="3"/>
      <c r="N28" s="4">
        <f t="shared" si="0"/>
        <v>-100</v>
      </c>
    </row>
    <row r="29" spans="1:14" ht="39" customHeight="1" x14ac:dyDescent="0.25">
      <c r="A29" t="e">
        <f>#REF!&amp;#REF!</f>
        <v>#REF!</v>
      </c>
      <c r="B29" s="3" t="s">
        <v>84</v>
      </c>
      <c r="C29" s="3" t="s">
        <v>131</v>
      </c>
      <c r="D29" s="3"/>
      <c r="E29" s="3" t="s">
        <v>141</v>
      </c>
      <c r="F29" s="3" t="s">
        <v>20</v>
      </c>
      <c r="G29" s="3" t="s">
        <v>142</v>
      </c>
      <c r="H29" s="11">
        <v>33000</v>
      </c>
      <c r="I29" s="11"/>
      <c r="J29" s="3"/>
      <c r="K29" s="3"/>
      <c r="L29" s="3"/>
      <c r="M29" s="3"/>
      <c r="N29" s="4">
        <f t="shared" ref="N29:N47" si="1">IFERROR(((I29*100)/H29)-100,"")</f>
        <v>-100</v>
      </c>
    </row>
    <row r="30" spans="1:14" ht="39" customHeight="1" x14ac:dyDescent="0.25">
      <c r="A30" t="e">
        <f>#REF!&amp;#REF!</f>
        <v>#REF!</v>
      </c>
      <c r="B30" s="3" t="s">
        <v>84</v>
      </c>
      <c r="C30" s="3" t="s">
        <v>131</v>
      </c>
      <c r="D30" s="3"/>
      <c r="E30" s="3" t="s">
        <v>143</v>
      </c>
      <c r="F30" s="3" t="s">
        <v>33</v>
      </c>
      <c r="G30" s="3" t="s">
        <v>144</v>
      </c>
      <c r="H30" s="11">
        <v>1800</v>
      </c>
      <c r="I30" s="11"/>
      <c r="J30" s="3"/>
      <c r="K30" s="3"/>
      <c r="L30" s="3"/>
      <c r="M30" s="3"/>
      <c r="N30" s="4">
        <f t="shared" si="1"/>
        <v>-100</v>
      </c>
    </row>
    <row r="31" spans="1:14" ht="39" customHeight="1" x14ac:dyDescent="0.25">
      <c r="A31" t="e">
        <f>#REF!&amp;#REF!</f>
        <v>#REF!</v>
      </c>
      <c r="B31" s="3" t="s">
        <v>84</v>
      </c>
      <c r="C31" s="3" t="s">
        <v>131</v>
      </c>
      <c r="D31" s="3"/>
      <c r="E31" s="3" t="s">
        <v>145</v>
      </c>
      <c r="F31" s="3" t="s">
        <v>22</v>
      </c>
      <c r="G31" s="3" t="s">
        <v>146</v>
      </c>
      <c r="H31" s="11">
        <v>6500</v>
      </c>
      <c r="I31" s="11"/>
      <c r="J31" s="3"/>
      <c r="K31" s="3"/>
      <c r="L31" s="3"/>
      <c r="M31" s="3"/>
      <c r="N31" s="4">
        <f t="shared" si="1"/>
        <v>-100</v>
      </c>
    </row>
    <row r="32" spans="1:14" ht="39" customHeight="1" x14ac:dyDescent="0.25">
      <c r="A32" t="e">
        <f>#REF!&amp;#REF!</f>
        <v>#REF!</v>
      </c>
      <c r="B32" s="3" t="s">
        <v>84</v>
      </c>
      <c r="C32" s="3" t="s">
        <v>131</v>
      </c>
      <c r="D32" s="3"/>
      <c r="E32" s="3" t="s">
        <v>147</v>
      </c>
      <c r="F32" s="3" t="s">
        <v>22</v>
      </c>
      <c r="G32" s="3" t="s">
        <v>148</v>
      </c>
      <c r="H32" s="11">
        <v>25000</v>
      </c>
      <c r="I32" s="11"/>
      <c r="J32" s="3"/>
      <c r="K32" s="3"/>
      <c r="L32" s="3"/>
      <c r="M32" s="3"/>
      <c r="N32" s="4">
        <f t="shared" si="1"/>
        <v>-100</v>
      </c>
    </row>
    <row r="33" spans="1:14" ht="39" customHeight="1" x14ac:dyDescent="0.25">
      <c r="A33" t="e">
        <f>#REF!&amp;#REF!</f>
        <v>#REF!</v>
      </c>
      <c r="B33" s="3" t="s">
        <v>84</v>
      </c>
      <c r="C33" s="3" t="s">
        <v>131</v>
      </c>
      <c r="D33" s="3"/>
      <c r="E33" s="3" t="s">
        <v>149</v>
      </c>
      <c r="F33" s="3" t="s">
        <v>22</v>
      </c>
      <c r="G33" s="3" t="s">
        <v>150</v>
      </c>
      <c r="H33" s="11">
        <v>2184</v>
      </c>
      <c r="I33" s="11"/>
      <c r="J33" s="3"/>
      <c r="K33" s="3"/>
      <c r="L33" s="3"/>
      <c r="M33" s="3"/>
      <c r="N33" s="4">
        <f t="shared" si="1"/>
        <v>-100</v>
      </c>
    </row>
    <row r="34" spans="1:14" ht="39" customHeight="1" x14ac:dyDescent="0.25">
      <c r="A34" t="e">
        <f>#REF!&amp;#REF!</f>
        <v>#REF!</v>
      </c>
      <c r="B34" s="3" t="s">
        <v>84</v>
      </c>
      <c r="C34" s="3" t="s">
        <v>131</v>
      </c>
      <c r="D34" s="3"/>
      <c r="E34" s="3" t="s">
        <v>151</v>
      </c>
      <c r="F34" s="3" t="s">
        <v>43</v>
      </c>
      <c r="G34" s="3" t="s">
        <v>152</v>
      </c>
      <c r="H34" s="11">
        <v>500</v>
      </c>
      <c r="I34" s="11"/>
      <c r="J34" s="3"/>
      <c r="K34" s="3"/>
      <c r="L34" s="3"/>
      <c r="M34" s="3"/>
      <c r="N34" s="4">
        <f t="shared" si="1"/>
        <v>-100</v>
      </c>
    </row>
    <row r="35" spans="1:14" ht="39" customHeight="1" x14ac:dyDescent="0.25">
      <c r="A35" t="e">
        <f>#REF!&amp;#REF!</f>
        <v>#REF!</v>
      </c>
      <c r="B35" s="3" t="s">
        <v>84</v>
      </c>
      <c r="C35" s="3" t="s">
        <v>131</v>
      </c>
      <c r="D35" s="3"/>
      <c r="E35" s="3" t="s">
        <v>153</v>
      </c>
      <c r="F35" s="3" t="s">
        <v>22</v>
      </c>
      <c r="G35" s="3" t="s">
        <v>154</v>
      </c>
      <c r="H35" s="11">
        <v>2200</v>
      </c>
      <c r="I35" s="11"/>
      <c r="J35" s="3"/>
      <c r="K35" s="3"/>
      <c r="L35" s="3"/>
      <c r="M35" s="3"/>
      <c r="N35" s="4">
        <f t="shared" si="1"/>
        <v>-100</v>
      </c>
    </row>
    <row r="36" spans="1:14" ht="39" customHeight="1" x14ac:dyDescent="0.25">
      <c r="A36" t="e">
        <f>#REF!&amp;#REF!</f>
        <v>#REF!</v>
      </c>
      <c r="B36" s="3" t="s">
        <v>84</v>
      </c>
      <c r="C36" s="3" t="s">
        <v>131</v>
      </c>
      <c r="D36" s="3"/>
      <c r="E36" s="3" t="s">
        <v>155</v>
      </c>
      <c r="F36" s="3" t="s">
        <v>22</v>
      </c>
      <c r="G36" s="3" t="s">
        <v>156</v>
      </c>
      <c r="H36" s="11">
        <v>2500</v>
      </c>
      <c r="I36" s="11"/>
      <c r="J36" s="3"/>
      <c r="K36" s="3"/>
      <c r="L36" s="3"/>
      <c r="M36" s="3"/>
      <c r="N36" s="4">
        <f t="shared" si="1"/>
        <v>-100</v>
      </c>
    </row>
    <row r="37" spans="1:14" ht="39" customHeight="1" x14ac:dyDescent="0.25">
      <c r="A37" t="e">
        <f>#REF!&amp;#REF!</f>
        <v>#REF!</v>
      </c>
      <c r="B37" s="3" t="s">
        <v>84</v>
      </c>
      <c r="C37" s="3" t="s">
        <v>131</v>
      </c>
      <c r="D37" s="3"/>
      <c r="E37" s="3" t="s">
        <v>157</v>
      </c>
      <c r="F37" s="3" t="s">
        <v>82</v>
      </c>
      <c r="G37" s="3" t="s">
        <v>158</v>
      </c>
      <c r="H37" s="11">
        <v>1000</v>
      </c>
      <c r="I37" s="11"/>
      <c r="J37" s="3"/>
      <c r="K37" s="3"/>
      <c r="L37" s="3"/>
      <c r="M37" s="3"/>
      <c r="N37" s="4">
        <f t="shared" si="1"/>
        <v>-100</v>
      </c>
    </row>
    <row r="38" spans="1:14" ht="39" customHeight="1" x14ac:dyDescent="0.25">
      <c r="A38" t="e">
        <f>#REF!&amp;#REF!</f>
        <v>#REF!</v>
      </c>
      <c r="B38" s="3" t="s">
        <v>84</v>
      </c>
      <c r="C38" s="3" t="s">
        <v>131</v>
      </c>
      <c r="D38" s="3"/>
      <c r="E38" s="3" t="s">
        <v>159</v>
      </c>
      <c r="F38" s="3" t="s">
        <v>25</v>
      </c>
      <c r="G38" s="3" t="s">
        <v>160</v>
      </c>
      <c r="H38" s="11">
        <v>2000</v>
      </c>
      <c r="I38" s="11"/>
      <c r="J38" s="3"/>
      <c r="K38" s="3"/>
      <c r="L38" s="3"/>
      <c r="M38" s="3"/>
      <c r="N38" s="4">
        <f t="shared" si="1"/>
        <v>-100</v>
      </c>
    </row>
    <row r="39" spans="1:14" ht="39" customHeight="1" x14ac:dyDescent="0.25">
      <c r="A39" t="e">
        <f>#REF!&amp;#REF!</f>
        <v>#REF!</v>
      </c>
      <c r="B39" s="3" t="s">
        <v>84</v>
      </c>
      <c r="C39" s="3" t="s">
        <v>131</v>
      </c>
      <c r="D39" s="3"/>
      <c r="E39" s="3" t="s">
        <v>161</v>
      </c>
      <c r="F39" s="3" t="s">
        <v>40</v>
      </c>
      <c r="G39" s="3" t="s">
        <v>162</v>
      </c>
      <c r="H39" s="11">
        <v>1400</v>
      </c>
      <c r="I39" s="11"/>
      <c r="J39" s="3"/>
      <c r="K39" s="3"/>
      <c r="L39" s="3"/>
      <c r="M39" s="3"/>
      <c r="N39" s="4">
        <f t="shared" si="1"/>
        <v>-100</v>
      </c>
    </row>
    <row r="40" spans="1:14" ht="39" customHeight="1" x14ac:dyDescent="0.25">
      <c r="A40" t="e">
        <f>#REF!&amp;#REF!</f>
        <v>#REF!</v>
      </c>
      <c r="B40" s="3" t="s">
        <v>84</v>
      </c>
      <c r="C40" s="3" t="s">
        <v>131</v>
      </c>
      <c r="D40" s="3"/>
      <c r="E40" s="3" t="s">
        <v>163</v>
      </c>
      <c r="F40" s="3" t="s">
        <v>15</v>
      </c>
      <c r="G40" s="3" t="s">
        <v>164</v>
      </c>
      <c r="H40" s="11">
        <v>2000</v>
      </c>
      <c r="I40" s="11"/>
      <c r="J40" s="3"/>
      <c r="K40" s="3"/>
      <c r="L40" s="3"/>
      <c r="M40" s="3"/>
      <c r="N40" s="4">
        <f t="shared" si="1"/>
        <v>-100</v>
      </c>
    </row>
    <row r="41" spans="1:14" ht="39" customHeight="1" x14ac:dyDescent="0.25">
      <c r="A41" t="str">
        <f t="shared" ref="A41:A47" si="2">E3&amp;H3</f>
        <v>0005000622821000</v>
      </c>
      <c r="B41" s="3" t="s">
        <v>84</v>
      </c>
      <c r="C41" s="3" t="s">
        <v>165</v>
      </c>
      <c r="D41" s="3"/>
      <c r="E41" s="3" t="s">
        <v>166</v>
      </c>
      <c r="F41" s="3" t="s">
        <v>22</v>
      </c>
      <c r="G41" s="3" t="s">
        <v>167</v>
      </c>
      <c r="H41" s="11">
        <v>300</v>
      </c>
      <c r="I41" s="11"/>
      <c r="J41" s="3"/>
      <c r="K41" s="3"/>
      <c r="L41" s="3"/>
      <c r="M41" s="3"/>
      <c r="N41" s="4">
        <f t="shared" si="1"/>
        <v>-100</v>
      </c>
    </row>
    <row r="42" spans="1:14" ht="39" customHeight="1" x14ac:dyDescent="0.25">
      <c r="A42" t="str">
        <f t="shared" si="2"/>
        <v>000500062287800</v>
      </c>
      <c r="B42" s="3" t="s">
        <v>84</v>
      </c>
      <c r="C42" s="3" t="s">
        <v>165</v>
      </c>
      <c r="D42" s="3"/>
      <c r="E42" s="3" t="s">
        <v>168</v>
      </c>
      <c r="F42" s="3" t="s">
        <v>67</v>
      </c>
      <c r="G42" s="3" t="s">
        <v>169</v>
      </c>
      <c r="H42" s="11">
        <v>700</v>
      </c>
      <c r="I42" s="11"/>
      <c r="J42" s="3"/>
      <c r="K42" s="3"/>
      <c r="L42" s="3"/>
      <c r="M42" s="3"/>
      <c r="N42" s="4">
        <f t="shared" si="1"/>
        <v>-100</v>
      </c>
    </row>
    <row r="43" spans="1:14" ht="39" customHeight="1" x14ac:dyDescent="0.25">
      <c r="A43" t="str">
        <f t="shared" si="2"/>
        <v>00050006424800</v>
      </c>
      <c r="B43" s="3" t="s">
        <v>84</v>
      </c>
      <c r="C43" s="3" t="s">
        <v>165</v>
      </c>
      <c r="D43" s="3"/>
      <c r="E43" s="3" t="s">
        <v>170</v>
      </c>
      <c r="F43" s="3" t="s">
        <v>25</v>
      </c>
      <c r="G43" s="3" t="s">
        <v>171</v>
      </c>
      <c r="H43" s="11">
        <v>13000</v>
      </c>
      <c r="I43" s="11"/>
      <c r="J43" s="3"/>
      <c r="K43" s="3"/>
      <c r="L43" s="3"/>
      <c r="M43" s="3"/>
      <c r="N43" s="4">
        <f t="shared" si="1"/>
        <v>-100</v>
      </c>
    </row>
    <row r="44" spans="1:14" ht="39" customHeight="1" x14ac:dyDescent="0.25">
      <c r="A44" t="str">
        <f t="shared" si="2"/>
        <v>000500064735200</v>
      </c>
      <c r="B44" s="3" t="s">
        <v>84</v>
      </c>
      <c r="C44" s="3" t="s">
        <v>165</v>
      </c>
      <c r="D44" s="3"/>
      <c r="E44" s="3" t="s">
        <v>172</v>
      </c>
      <c r="F44" s="3" t="s">
        <v>44</v>
      </c>
      <c r="G44" s="3" t="s">
        <v>173</v>
      </c>
      <c r="H44" s="11">
        <v>900</v>
      </c>
      <c r="I44" s="11"/>
      <c r="J44" s="3"/>
      <c r="K44" s="3"/>
      <c r="L44" s="3"/>
      <c r="M44" s="3"/>
      <c r="N44" s="4">
        <f t="shared" si="1"/>
        <v>-100</v>
      </c>
    </row>
    <row r="45" spans="1:14" ht="39" customHeight="1" x14ac:dyDescent="0.25">
      <c r="A45" t="str">
        <f t="shared" si="2"/>
        <v>000500064762100</v>
      </c>
      <c r="B45" s="3" t="s">
        <v>84</v>
      </c>
      <c r="C45" s="3" t="s">
        <v>165</v>
      </c>
      <c r="D45" s="3"/>
      <c r="E45" s="3" t="s">
        <v>174</v>
      </c>
      <c r="F45" s="3" t="s">
        <v>22</v>
      </c>
      <c r="G45" s="3" t="s">
        <v>175</v>
      </c>
      <c r="H45" s="11">
        <v>2700</v>
      </c>
      <c r="I45" s="11"/>
      <c r="J45" s="3"/>
      <c r="K45" s="3"/>
      <c r="L45" s="3"/>
      <c r="M45" s="3"/>
      <c r="N45" s="4">
        <f t="shared" si="1"/>
        <v>-100</v>
      </c>
    </row>
    <row r="46" spans="1:14" ht="39" customHeight="1" x14ac:dyDescent="0.25">
      <c r="A46" t="str">
        <f t="shared" si="2"/>
        <v>00050006695500</v>
      </c>
      <c r="B46" s="3" t="s">
        <v>84</v>
      </c>
      <c r="C46" s="3" t="s">
        <v>165</v>
      </c>
      <c r="D46" s="3"/>
      <c r="E46" s="3" t="s">
        <v>176</v>
      </c>
      <c r="F46" s="3" t="s">
        <v>20</v>
      </c>
      <c r="G46" s="3" t="s">
        <v>177</v>
      </c>
      <c r="H46" s="11">
        <v>3500</v>
      </c>
      <c r="I46" s="11"/>
      <c r="J46" s="3"/>
      <c r="K46" s="3"/>
      <c r="L46" s="3"/>
      <c r="M46" s="3"/>
      <c r="N46" s="4">
        <f t="shared" si="1"/>
        <v>-100</v>
      </c>
    </row>
    <row r="47" spans="1:14" ht="39" customHeight="1" x14ac:dyDescent="0.25">
      <c r="A47" t="str">
        <f t="shared" si="2"/>
        <v>000500067821600</v>
      </c>
      <c r="B47" s="3" t="s">
        <v>84</v>
      </c>
      <c r="C47" s="3" t="s">
        <v>165</v>
      </c>
      <c r="D47" s="3"/>
      <c r="E47" s="3" t="s">
        <v>178</v>
      </c>
      <c r="F47" s="3" t="s">
        <v>22</v>
      </c>
      <c r="G47" s="3" t="s">
        <v>179</v>
      </c>
      <c r="H47" s="11">
        <v>5000</v>
      </c>
      <c r="I47" s="11"/>
      <c r="J47" s="3"/>
      <c r="K47" s="3"/>
      <c r="L47" s="3"/>
      <c r="M47" s="3"/>
      <c r="N47" s="4">
        <f t="shared" si="1"/>
        <v>-100</v>
      </c>
    </row>
    <row r="48" spans="1:14" ht="39" customHeight="1" x14ac:dyDescent="0.25">
      <c r="A48" t="e">
        <f>#REF!&amp;#REF!</f>
        <v>#REF!</v>
      </c>
      <c r="B48" s="3" t="s">
        <v>84</v>
      </c>
      <c r="C48" s="3" t="s">
        <v>165</v>
      </c>
      <c r="D48" s="3"/>
      <c r="E48" s="3" t="s">
        <v>180</v>
      </c>
      <c r="F48" s="3" t="s">
        <v>22</v>
      </c>
      <c r="G48" s="3" t="s">
        <v>181</v>
      </c>
      <c r="H48" s="11">
        <v>2600</v>
      </c>
      <c r="I48" s="11"/>
      <c r="J48" s="3"/>
      <c r="K48" s="3"/>
      <c r="L48" s="3"/>
      <c r="M48" s="3"/>
      <c r="N48" s="4">
        <f t="shared" ref="N48:N56" si="3">IFERROR(((I48*100)/H48)-100,"")</f>
        <v>-100</v>
      </c>
    </row>
    <row r="49" spans="1:14" ht="39" customHeight="1" x14ac:dyDescent="0.25">
      <c r="A49" t="e">
        <f>#REF!&amp;#REF!</f>
        <v>#REF!</v>
      </c>
      <c r="B49" s="3" t="s">
        <v>84</v>
      </c>
      <c r="C49" s="3" t="s">
        <v>165</v>
      </c>
      <c r="D49" s="3"/>
      <c r="E49" s="3" t="s">
        <v>182</v>
      </c>
      <c r="F49" s="3" t="s">
        <v>59</v>
      </c>
      <c r="G49" s="3" t="s">
        <v>183</v>
      </c>
      <c r="H49" s="11">
        <v>2000</v>
      </c>
      <c r="I49" s="11"/>
      <c r="J49" s="3"/>
      <c r="K49" s="3"/>
      <c r="L49" s="3"/>
      <c r="M49" s="3"/>
      <c r="N49" s="4">
        <f t="shared" si="3"/>
        <v>-100</v>
      </c>
    </row>
    <row r="50" spans="1:14" ht="39" customHeight="1" x14ac:dyDescent="0.25">
      <c r="A50" t="e">
        <f>#REF!&amp;#REF!</f>
        <v>#REF!</v>
      </c>
      <c r="B50" s="3" t="s">
        <v>84</v>
      </c>
      <c r="C50" s="3" t="s">
        <v>165</v>
      </c>
      <c r="D50" s="3"/>
      <c r="E50" s="3" t="s">
        <v>184</v>
      </c>
      <c r="F50" s="3" t="s">
        <v>59</v>
      </c>
      <c r="G50" s="3" t="s">
        <v>185</v>
      </c>
      <c r="H50" s="11">
        <v>2000</v>
      </c>
      <c r="I50" s="11"/>
      <c r="J50" s="3"/>
      <c r="K50" s="3"/>
      <c r="L50" s="3"/>
      <c r="M50" s="3"/>
      <c r="N50" s="4">
        <f t="shared" si="3"/>
        <v>-100</v>
      </c>
    </row>
    <row r="51" spans="1:14" ht="39" customHeight="1" x14ac:dyDescent="0.25">
      <c r="A51" t="e">
        <f>#REF!&amp;#REF!</f>
        <v>#REF!</v>
      </c>
      <c r="B51" s="3" t="s">
        <v>84</v>
      </c>
      <c r="C51" s="3" t="s">
        <v>165</v>
      </c>
      <c r="D51" s="3"/>
      <c r="E51" s="3" t="s">
        <v>186</v>
      </c>
      <c r="F51" s="3" t="s">
        <v>60</v>
      </c>
      <c r="G51" s="3" t="s">
        <v>187</v>
      </c>
      <c r="H51" s="11">
        <v>6000</v>
      </c>
      <c r="I51" s="11"/>
      <c r="J51" s="3"/>
      <c r="K51" s="3"/>
      <c r="L51" s="3"/>
      <c r="M51" s="3"/>
      <c r="N51" s="4">
        <f t="shared" si="3"/>
        <v>-100</v>
      </c>
    </row>
    <row r="52" spans="1:14" ht="39" customHeight="1" x14ac:dyDescent="0.25">
      <c r="A52" t="e">
        <f>#REF!&amp;#REF!</f>
        <v>#REF!</v>
      </c>
      <c r="B52" s="3" t="s">
        <v>84</v>
      </c>
      <c r="C52" s="3" t="s">
        <v>165</v>
      </c>
      <c r="D52" s="3"/>
      <c r="E52" s="3" t="s">
        <v>188</v>
      </c>
      <c r="F52" s="3" t="s">
        <v>36</v>
      </c>
      <c r="G52" s="3" t="s">
        <v>189</v>
      </c>
      <c r="H52" s="11">
        <v>300</v>
      </c>
      <c r="I52" s="11"/>
      <c r="J52" s="3"/>
      <c r="K52" s="3"/>
      <c r="L52" s="3"/>
      <c r="M52" s="3"/>
      <c r="N52" s="4">
        <f t="shared" si="3"/>
        <v>-100</v>
      </c>
    </row>
    <row r="53" spans="1:14" ht="39" customHeight="1" x14ac:dyDescent="0.25">
      <c r="A53" t="e">
        <f>#REF!&amp;#REF!</f>
        <v>#REF!</v>
      </c>
      <c r="B53" s="3" t="s">
        <v>84</v>
      </c>
      <c r="C53" s="3" t="s">
        <v>165</v>
      </c>
      <c r="D53" s="3"/>
      <c r="E53" s="3" t="s">
        <v>190</v>
      </c>
      <c r="F53" s="3" t="s">
        <v>22</v>
      </c>
      <c r="G53" s="3" t="s">
        <v>191</v>
      </c>
      <c r="H53" s="11">
        <v>6600</v>
      </c>
      <c r="I53" s="11"/>
      <c r="J53" s="3"/>
      <c r="K53" s="3"/>
      <c r="L53" s="3"/>
      <c r="M53" s="3"/>
      <c r="N53" s="4">
        <f t="shared" si="3"/>
        <v>-100</v>
      </c>
    </row>
    <row r="54" spans="1:14" ht="39" customHeight="1" x14ac:dyDescent="0.25">
      <c r="A54" t="e">
        <f>#REF!&amp;#REF!</f>
        <v>#REF!</v>
      </c>
      <c r="B54" s="3" t="s">
        <v>84</v>
      </c>
      <c r="C54" s="3" t="s">
        <v>165</v>
      </c>
      <c r="D54" s="3"/>
      <c r="E54" s="3" t="s">
        <v>192</v>
      </c>
      <c r="F54" s="3" t="s">
        <v>22</v>
      </c>
      <c r="G54" s="3" t="s">
        <v>193</v>
      </c>
      <c r="H54" s="11">
        <v>21500</v>
      </c>
      <c r="I54" s="11"/>
      <c r="J54" s="3"/>
      <c r="K54" s="3"/>
      <c r="L54" s="3"/>
      <c r="M54" s="3"/>
      <c r="N54" s="4">
        <f t="shared" si="3"/>
        <v>-100</v>
      </c>
    </row>
    <row r="55" spans="1:14" ht="39" customHeight="1" x14ac:dyDescent="0.25">
      <c r="A55" t="e">
        <f>#REF!&amp;#REF!</f>
        <v>#REF!</v>
      </c>
      <c r="B55" s="3" t="s">
        <v>84</v>
      </c>
      <c r="C55" s="3" t="s">
        <v>165</v>
      </c>
      <c r="D55" s="3"/>
      <c r="E55" s="3" t="s">
        <v>194</v>
      </c>
      <c r="F55" s="3" t="s">
        <v>22</v>
      </c>
      <c r="G55" s="3" t="s">
        <v>195</v>
      </c>
      <c r="H55" s="11">
        <v>10100</v>
      </c>
      <c r="I55" s="11"/>
      <c r="J55" s="3"/>
      <c r="K55" s="3"/>
      <c r="L55" s="3"/>
      <c r="M55" s="3"/>
      <c r="N55" s="4">
        <f t="shared" si="3"/>
        <v>-100</v>
      </c>
    </row>
    <row r="56" spans="1:14" ht="39" customHeight="1" x14ac:dyDescent="0.25">
      <c r="A56" t="e">
        <f>#REF!&amp;#REF!</f>
        <v>#REF!</v>
      </c>
      <c r="B56" s="3" t="s">
        <v>84</v>
      </c>
      <c r="C56" s="3" t="s">
        <v>165</v>
      </c>
      <c r="D56" s="3"/>
      <c r="E56" s="3" t="s">
        <v>196</v>
      </c>
      <c r="F56" s="3" t="s">
        <v>22</v>
      </c>
      <c r="G56" s="3" t="s">
        <v>197</v>
      </c>
      <c r="H56" s="11">
        <v>2000</v>
      </c>
      <c r="I56" s="11"/>
      <c r="J56" s="3"/>
      <c r="K56" s="3"/>
      <c r="L56" s="3"/>
      <c r="M56" s="3"/>
      <c r="N56" s="4">
        <f t="shared" si="3"/>
        <v>-100</v>
      </c>
    </row>
    <row r="57" spans="1:14" ht="39" customHeight="1" x14ac:dyDescent="0.25">
      <c r="A57" t="e">
        <f>#REF!&amp;#REF!</f>
        <v>#REF!</v>
      </c>
      <c r="B57" s="3" t="s">
        <v>84</v>
      </c>
      <c r="C57" s="3" t="s">
        <v>165</v>
      </c>
      <c r="D57" s="3"/>
      <c r="E57" s="3" t="s">
        <v>198</v>
      </c>
      <c r="F57" s="3" t="s">
        <v>22</v>
      </c>
      <c r="G57" s="3" t="s">
        <v>199</v>
      </c>
      <c r="H57" s="11">
        <v>900</v>
      </c>
      <c r="I57" s="11"/>
      <c r="J57" s="3"/>
      <c r="K57" s="3"/>
      <c r="L57" s="3"/>
      <c r="M57" s="3"/>
      <c r="N57" s="4">
        <f t="shared" ref="N57:N120" si="4">IFERROR(((I57*100)/H57)-100,"")</f>
        <v>-100</v>
      </c>
    </row>
    <row r="58" spans="1:14" ht="39" customHeight="1" x14ac:dyDescent="0.25">
      <c r="A58" t="e">
        <f>#REF!&amp;#REF!</f>
        <v>#REF!</v>
      </c>
      <c r="B58" s="3" t="s">
        <v>84</v>
      </c>
      <c r="C58" s="3" t="s">
        <v>165</v>
      </c>
      <c r="D58" s="3"/>
      <c r="E58" s="3" t="s">
        <v>200</v>
      </c>
      <c r="F58" s="3" t="s">
        <v>43</v>
      </c>
      <c r="G58" s="3" t="s">
        <v>201</v>
      </c>
      <c r="H58" s="11">
        <v>500</v>
      </c>
      <c r="I58" s="11"/>
      <c r="J58" s="3"/>
      <c r="K58" s="3"/>
      <c r="L58" s="3"/>
      <c r="M58" s="3"/>
      <c r="N58" s="4">
        <f t="shared" si="4"/>
        <v>-100</v>
      </c>
    </row>
    <row r="59" spans="1:14" ht="39" customHeight="1" x14ac:dyDescent="0.25">
      <c r="A59" t="e">
        <f>#REF!&amp;#REF!</f>
        <v>#REF!</v>
      </c>
      <c r="B59" s="3" t="s">
        <v>84</v>
      </c>
      <c r="C59" s="3" t="s">
        <v>165</v>
      </c>
      <c r="D59" s="3"/>
      <c r="E59" s="3" t="s">
        <v>202</v>
      </c>
      <c r="F59" s="3" t="s">
        <v>22</v>
      </c>
      <c r="G59" s="3" t="s">
        <v>203</v>
      </c>
      <c r="H59" s="11">
        <v>1000</v>
      </c>
      <c r="I59" s="11" t="s">
        <v>26</v>
      </c>
      <c r="J59" s="3"/>
      <c r="K59" s="3"/>
      <c r="L59" s="3"/>
      <c r="M59" s="3"/>
      <c r="N59" s="4" t="str">
        <f t="shared" si="4"/>
        <v/>
      </c>
    </row>
    <row r="60" spans="1:14" ht="39" customHeight="1" x14ac:dyDescent="0.25">
      <c r="A60" t="e">
        <f>#REF!&amp;#REF!</f>
        <v>#REF!</v>
      </c>
      <c r="B60" s="3" t="s">
        <v>84</v>
      </c>
      <c r="C60" s="3" t="s">
        <v>165</v>
      </c>
      <c r="D60" s="3"/>
      <c r="E60" s="3" t="s">
        <v>204</v>
      </c>
      <c r="F60" s="3" t="s">
        <v>40</v>
      </c>
      <c r="G60" s="3" t="s">
        <v>205</v>
      </c>
      <c r="H60" s="11">
        <v>24000</v>
      </c>
      <c r="I60" s="11"/>
      <c r="J60" s="3"/>
      <c r="K60" s="3"/>
      <c r="L60" s="3"/>
      <c r="M60" s="3"/>
      <c r="N60" s="4">
        <f t="shared" si="4"/>
        <v>-100</v>
      </c>
    </row>
    <row r="61" spans="1:14" ht="39" customHeight="1" x14ac:dyDescent="0.25">
      <c r="A61" t="e">
        <f>#REF!&amp;#REF!</f>
        <v>#REF!</v>
      </c>
      <c r="B61" s="3" t="s">
        <v>84</v>
      </c>
      <c r="C61" s="3" t="s">
        <v>206</v>
      </c>
      <c r="D61" s="3"/>
      <c r="E61" s="3" t="s">
        <v>207</v>
      </c>
      <c r="F61" s="3" t="s">
        <v>22</v>
      </c>
      <c r="G61" s="3" t="s">
        <v>208</v>
      </c>
      <c r="H61" s="11">
        <v>10752</v>
      </c>
      <c r="I61" s="11"/>
      <c r="J61" s="3"/>
      <c r="K61" s="3"/>
      <c r="L61" s="3"/>
      <c r="M61" s="3"/>
      <c r="N61" s="4">
        <f t="shared" si="4"/>
        <v>-100</v>
      </c>
    </row>
    <row r="62" spans="1:14" ht="39" customHeight="1" x14ac:dyDescent="0.25">
      <c r="A62" t="e">
        <f>#REF!&amp;#REF!</f>
        <v>#REF!</v>
      </c>
      <c r="B62" s="3" t="s">
        <v>84</v>
      </c>
      <c r="C62" s="3" t="s">
        <v>206</v>
      </c>
      <c r="D62" s="3"/>
      <c r="E62" s="3" t="s">
        <v>209</v>
      </c>
      <c r="F62" s="3" t="s">
        <v>25</v>
      </c>
      <c r="G62" s="3" t="s">
        <v>210</v>
      </c>
      <c r="H62" s="11">
        <v>25000</v>
      </c>
      <c r="I62" s="11"/>
      <c r="J62" s="3"/>
      <c r="K62" s="3"/>
      <c r="L62" s="3"/>
      <c r="M62" s="3"/>
      <c r="N62" s="4">
        <f t="shared" si="4"/>
        <v>-100</v>
      </c>
    </row>
    <row r="63" spans="1:14" ht="39" customHeight="1" x14ac:dyDescent="0.25">
      <c r="A63" t="e">
        <f>#REF!&amp;#REF!</f>
        <v>#REF!</v>
      </c>
      <c r="B63" s="3" t="s">
        <v>84</v>
      </c>
      <c r="C63" s="3" t="s">
        <v>206</v>
      </c>
      <c r="D63" s="3"/>
      <c r="E63" s="3" t="s">
        <v>211</v>
      </c>
      <c r="F63" s="3" t="s">
        <v>22</v>
      </c>
      <c r="G63" s="3" t="s">
        <v>212</v>
      </c>
      <c r="H63" s="11">
        <v>1300</v>
      </c>
      <c r="I63" s="11"/>
      <c r="J63" s="3"/>
      <c r="K63" s="3"/>
      <c r="L63" s="3"/>
      <c r="M63" s="3"/>
      <c r="N63" s="4">
        <f t="shared" si="4"/>
        <v>-100</v>
      </c>
    </row>
    <row r="64" spans="1:14" ht="39" customHeight="1" x14ac:dyDescent="0.25">
      <c r="A64" t="e">
        <f>#REF!&amp;#REF!</f>
        <v>#REF!</v>
      </c>
      <c r="B64" s="3" t="s">
        <v>84</v>
      </c>
      <c r="C64" s="3" t="s">
        <v>206</v>
      </c>
      <c r="D64" s="3"/>
      <c r="E64" s="3" t="s">
        <v>213</v>
      </c>
      <c r="F64" s="3" t="s">
        <v>20</v>
      </c>
      <c r="G64" s="3" t="s">
        <v>214</v>
      </c>
      <c r="H64" s="11">
        <v>4500</v>
      </c>
      <c r="I64" s="11"/>
      <c r="J64" s="3"/>
      <c r="K64" s="3"/>
      <c r="L64" s="3"/>
      <c r="M64" s="3"/>
      <c r="N64" s="4">
        <f t="shared" si="4"/>
        <v>-100</v>
      </c>
    </row>
    <row r="65" spans="1:14" ht="39" customHeight="1" x14ac:dyDescent="0.25">
      <c r="A65" t="e">
        <f>#REF!&amp;#REF!</f>
        <v>#REF!</v>
      </c>
      <c r="B65" s="3" t="s">
        <v>84</v>
      </c>
      <c r="C65" s="3" t="s">
        <v>206</v>
      </c>
      <c r="D65" s="3"/>
      <c r="E65" s="3" t="s">
        <v>215</v>
      </c>
      <c r="F65" s="3" t="s">
        <v>22</v>
      </c>
      <c r="G65" s="3" t="s">
        <v>216</v>
      </c>
      <c r="H65" s="11">
        <v>5300</v>
      </c>
      <c r="I65" s="11"/>
      <c r="J65" s="3"/>
      <c r="K65" s="3"/>
      <c r="L65" s="3"/>
      <c r="M65" s="3"/>
      <c r="N65" s="4">
        <f t="shared" si="4"/>
        <v>-100</v>
      </c>
    </row>
    <row r="66" spans="1:14" ht="39" customHeight="1" x14ac:dyDescent="0.25">
      <c r="A66" t="e">
        <f>#REF!&amp;#REF!</f>
        <v>#REF!</v>
      </c>
      <c r="B66" s="3" t="s">
        <v>84</v>
      </c>
      <c r="C66" s="3" t="s">
        <v>206</v>
      </c>
      <c r="D66" s="3"/>
      <c r="E66" s="3" t="s">
        <v>217</v>
      </c>
      <c r="F66" s="3" t="s">
        <v>22</v>
      </c>
      <c r="G66" s="3" t="s">
        <v>218</v>
      </c>
      <c r="H66" s="11">
        <v>3000</v>
      </c>
      <c r="I66" s="11" t="s">
        <v>26</v>
      </c>
      <c r="J66" s="3"/>
      <c r="K66" s="3"/>
      <c r="L66" s="3"/>
      <c r="M66" s="3"/>
      <c r="N66" s="4" t="str">
        <f t="shared" si="4"/>
        <v/>
      </c>
    </row>
    <row r="67" spans="1:14" ht="39" customHeight="1" x14ac:dyDescent="0.25">
      <c r="A67" t="e">
        <f>#REF!&amp;#REF!</f>
        <v>#REF!</v>
      </c>
      <c r="B67" s="3" t="s">
        <v>84</v>
      </c>
      <c r="C67" s="3" t="s">
        <v>219</v>
      </c>
      <c r="D67" s="3"/>
      <c r="E67" s="3" t="s">
        <v>220</v>
      </c>
      <c r="F67" s="3" t="s">
        <v>30</v>
      </c>
      <c r="G67" s="3" t="s">
        <v>221</v>
      </c>
      <c r="H67" s="11">
        <v>4000</v>
      </c>
      <c r="I67" s="11"/>
      <c r="J67" s="3"/>
      <c r="K67" s="3"/>
      <c r="L67" s="3"/>
      <c r="M67" s="3"/>
      <c r="N67" s="4">
        <f t="shared" si="4"/>
        <v>-100</v>
      </c>
    </row>
    <row r="68" spans="1:14" ht="39" customHeight="1" x14ac:dyDescent="0.25">
      <c r="A68" t="e">
        <f>#REF!&amp;#REF!</f>
        <v>#REF!</v>
      </c>
      <c r="B68" s="3" t="s">
        <v>84</v>
      </c>
      <c r="C68" s="3" t="s">
        <v>219</v>
      </c>
      <c r="D68" s="3"/>
      <c r="E68" s="3" t="s">
        <v>222</v>
      </c>
      <c r="F68" s="3" t="s">
        <v>54</v>
      </c>
      <c r="G68" s="3" t="s">
        <v>223</v>
      </c>
      <c r="H68" s="11">
        <v>1000</v>
      </c>
      <c r="I68" s="11"/>
      <c r="J68" s="3"/>
      <c r="K68" s="3"/>
      <c r="L68" s="3"/>
      <c r="M68" s="3"/>
      <c r="N68" s="4">
        <f t="shared" si="4"/>
        <v>-100</v>
      </c>
    </row>
    <row r="69" spans="1:14" ht="39" customHeight="1" x14ac:dyDescent="0.25">
      <c r="A69" t="e">
        <f>#REF!&amp;#REF!</f>
        <v>#REF!</v>
      </c>
      <c r="B69" s="3" t="s">
        <v>84</v>
      </c>
      <c r="C69" s="3" t="s">
        <v>219</v>
      </c>
      <c r="D69" s="3"/>
      <c r="E69" s="3" t="s">
        <v>224</v>
      </c>
      <c r="F69" s="3" t="s">
        <v>38</v>
      </c>
      <c r="G69" s="3" t="s">
        <v>225</v>
      </c>
      <c r="H69" s="11">
        <v>800</v>
      </c>
      <c r="I69" s="11"/>
      <c r="J69" s="3"/>
      <c r="K69" s="3"/>
      <c r="L69" s="3"/>
      <c r="M69" s="3"/>
      <c r="N69" s="4">
        <f t="shared" si="4"/>
        <v>-100</v>
      </c>
    </row>
    <row r="70" spans="1:14" ht="39" customHeight="1" x14ac:dyDescent="0.25">
      <c r="A70" t="e">
        <f>#REF!&amp;#REF!</f>
        <v>#REF!</v>
      </c>
      <c r="B70" s="3" t="s">
        <v>84</v>
      </c>
      <c r="C70" s="3" t="s">
        <v>219</v>
      </c>
      <c r="D70" s="3"/>
      <c r="E70" s="3" t="s">
        <v>226</v>
      </c>
      <c r="F70" s="3" t="s">
        <v>22</v>
      </c>
      <c r="G70" s="3" t="s">
        <v>227</v>
      </c>
      <c r="H70" s="11">
        <v>3900</v>
      </c>
      <c r="I70" s="11"/>
      <c r="J70" s="3"/>
      <c r="K70" s="3"/>
      <c r="L70" s="3"/>
      <c r="M70" s="3"/>
      <c r="N70" s="4">
        <f t="shared" si="4"/>
        <v>-100</v>
      </c>
    </row>
    <row r="71" spans="1:14" ht="39" customHeight="1" x14ac:dyDescent="0.25">
      <c r="A71" t="e">
        <f>#REF!&amp;#REF!</f>
        <v>#REF!</v>
      </c>
      <c r="B71" s="3" t="s">
        <v>84</v>
      </c>
      <c r="C71" s="3" t="s">
        <v>219</v>
      </c>
      <c r="D71" s="3"/>
      <c r="E71" s="3" t="s">
        <v>228</v>
      </c>
      <c r="F71" s="3" t="s">
        <v>23</v>
      </c>
      <c r="G71" s="3" t="s">
        <v>229</v>
      </c>
      <c r="H71" s="11">
        <v>3000</v>
      </c>
      <c r="I71" s="11"/>
      <c r="J71" s="3"/>
      <c r="K71" s="3"/>
      <c r="L71" s="3"/>
      <c r="M71" s="3"/>
      <c r="N71" s="4">
        <f t="shared" si="4"/>
        <v>-100</v>
      </c>
    </row>
    <row r="72" spans="1:14" ht="39" customHeight="1" x14ac:dyDescent="0.25">
      <c r="A72" t="e">
        <f>#REF!&amp;#REF!</f>
        <v>#REF!</v>
      </c>
      <c r="B72" s="3" t="s">
        <v>84</v>
      </c>
      <c r="C72" s="3" t="s">
        <v>219</v>
      </c>
      <c r="D72" s="3"/>
      <c r="E72" s="3" t="s">
        <v>230</v>
      </c>
      <c r="F72" s="3" t="s">
        <v>40</v>
      </c>
      <c r="G72" s="3" t="s">
        <v>231</v>
      </c>
      <c r="H72" s="11">
        <v>800</v>
      </c>
      <c r="I72" s="11"/>
      <c r="J72" s="3"/>
      <c r="K72" s="3"/>
      <c r="L72" s="3"/>
      <c r="M72" s="3"/>
      <c r="N72" s="4">
        <f t="shared" si="4"/>
        <v>-100</v>
      </c>
    </row>
    <row r="73" spans="1:14" ht="39" customHeight="1" x14ac:dyDescent="0.25">
      <c r="A73" t="e">
        <f>#REF!&amp;#REF!</f>
        <v>#REF!</v>
      </c>
      <c r="B73" s="3" t="s">
        <v>84</v>
      </c>
      <c r="C73" s="3" t="s">
        <v>219</v>
      </c>
      <c r="D73" s="3"/>
      <c r="E73" s="3" t="s">
        <v>232</v>
      </c>
      <c r="F73" s="3" t="s">
        <v>33</v>
      </c>
      <c r="G73" s="3" t="s">
        <v>233</v>
      </c>
      <c r="H73" s="11">
        <v>1700</v>
      </c>
      <c r="I73" s="11"/>
      <c r="J73" s="3"/>
      <c r="K73" s="3"/>
      <c r="L73" s="3"/>
      <c r="M73" s="3"/>
      <c r="N73" s="4">
        <f t="shared" si="4"/>
        <v>-100</v>
      </c>
    </row>
    <row r="74" spans="1:14" ht="39" customHeight="1" x14ac:dyDescent="0.25">
      <c r="A74" t="e">
        <f>#REF!&amp;#REF!</f>
        <v>#REF!</v>
      </c>
      <c r="B74" s="3" t="s">
        <v>84</v>
      </c>
      <c r="C74" s="3" t="s">
        <v>219</v>
      </c>
      <c r="D74" s="3"/>
      <c r="E74" s="3" t="s">
        <v>234</v>
      </c>
      <c r="F74" s="3" t="s">
        <v>25</v>
      </c>
      <c r="G74" s="3" t="s">
        <v>235</v>
      </c>
      <c r="H74" s="11">
        <v>40000</v>
      </c>
      <c r="I74" s="11"/>
      <c r="J74" s="3"/>
      <c r="K74" s="3"/>
      <c r="L74" s="3"/>
      <c r="M74" s="3"/>
      <c r="N74" s="4">
        <f t="shared" si="4"/>
        <v>-100</v>
      </c>
    </row>
    <row r="75" spans="1:14" ht="39" customHeight="1" x14ac:dyDescent="0.25">
      <c r="A75" t="e">
        <f>#REF!&amp;#REF!</f>
        <v>#REF!</v>
      </c>
      <c r="B75" s="3" t="s">
        <v>84</v>
      </c>
      <c r="C75" s="3" t="s">
        <v>219</v>
      </c>
      <c r="D75" s="3"/>
      <c r="E75" s="3" t="s">
        <v>236</v>
      </c>
      <c r="F75" s="3" t="s">
        <v>22</v>
      </c>
      <c r="G75" s="3" t="s">
        <v>237</v>
      </c>
      <c r="H75" s="11">
        <v>2400</v>
      </c>
      <c r="I75" s="11"/>
      <c r="J75" s="3"/>
      <c r="K75" s="3"/>
      <c r="L75" s="3"/>
      <c r="M75" s="3"/>
      <c r="N75" s="4">
        <f t="shared" si="4"/>
        <v>-100</v>
      </c>
    </row>
    <row r="76" spans="1:14" ht="39" customHeight="1" x14ac:dyDescent="0.25">
      <c r="A76" t="e">
        <f>#REF!&amp;#REF!</f>
        <v>#REF!</v>
      </c>
      <c r="B76" s="3" t="s">
        <v>84</v>
      </c>
      <c r="C76" s="3" t="s">
        <v>219</v>
      </c>
      <c r="D76" s="3"/>
      <c r="E76" s="3" t="s">
        <v>238</v>
      </c>
      <c r="F76" s="3" t="s">
        <v>43</v>
      </c>
      <c r="G76" s="3" t="s">
        <v>239</v>
      </c>
      <c r="H76" s="11">
        <v>1200</v>
      </c>
      <c r="I76" s="11"/>
      <c r="J76" s="3"/>
      <c r="K76" s="3"/>
      <c r="L76" s="3"/>
      <c r="M76" s="3"/>
      <c r="N76" s="4">
        <f t="shared" si="4"/>
        <v>-100</v>
      </c>
    </row>
    <row r="77" spans="1:14" ht="39" customHeight="1" x14ac:dyDescent="0.25">
      <c r="A77" t="e">
        <f>#REF!&amp;#REF!</f>
        <v>#REF!</v>
      </c>
      <c r="B77" s="3" t="s">
        <v>84</v>
      </c>
      <c r="C77" s="3" t="s">
        <v>219</v>
      </c>
      <c r="D77" s="3"/>
      <c r="E77" s="3" t="s">
        <v>240</v>
      </c>
      <c r="F77" s="3" t="s">
        <v>38</v>
      </c>
      <c r="G77" s="3" t="s">
        <v>241</v>
      </c>
      <c r="H77" s="11">
        <v>600</v>
      </c>
      <c r="I77" s="11"/>
      <c r="J77" s="3"/>
      <c r="K77" s="3"/>
      <c r="L77" s="3"/>
      <c r="M77" s="3"/>
      <c r="N77" s="4">
        <f t="shared" si="4"/>
        <v>-100</v>
      </c>
    </row>
    <row r="78" spans="1:14" ht="39" customHeight="1" x14ac:dyDescent="0.25">
      <c r="A78" t="e">
        <f>#REF!&amp;#REF!</f>
        <v>#REF!</v>
      </c>
      <c r="B78" s="3" t="s">
        <v>84</v>
      </c>
      <c r="C78" s="3" t="s">
        <v>219</v>
      </c>
      <c r="D78" s="3"/>
      <c r="E78" s="3" t="s">
        <v>242</v>
      </c>
      <c r="F78" s="3" t="s">
        <v>22</v>
      </c>
      <c r="G78" s="3" t="s">
        <v>243</v>
      </c>
      <c r="H78" s="11">
        <v>7600</v>
      </c>
      <c r="I78" s="11"/>
      <c r="J78" s="3"/>
      <c r="K78" s="3"/>
      <c r="L78" s="3"/>
      <c r="M78" s="3"/>
      <c r="N78" s="4">
        <f t="shared" si="4"/>
        <v>-100</v>
      </c>
    </row>
    <row r="79" spans="1:14" ht="39" customHeight="1" x14ac:dyDescent="0.25">
      <c r="A79" t="e">
        <f>#REF!&amp;#REF!</f>
        <v>#REF!</v>
      </c>
      <c r="B79" s="3" t="s">
        <v>84</v>
      </c>
      <c r="C79" s="3" t="s">
        <v>219</v>
      </c>
      <c r="D79" s="3"/>
      <c r="E79" s="3" t="s">
        <v>244</v>
      </c>
      <c r="F79" s="3" t="s">
        <v>23</v>
      </c>
      <c r="G79" s="3" t="s">
        <v>245</v>
      </c>
      <c r="H79" s="11">
        <v>500</v>
      </c>
      <c r="I79" s="11"/>
      <c r="J79" s="3"/>
      <c r="K79" s="3"/>
      <c r="L79" s="3"/>
      <c r="M79" s="3"/>
      <c r="N79" s="4">
        <f t="shared" si="4"/>
        <v>-100</v>
      </c>
    </row>
    <row r="80" spans="1:14" ht="39" customHeight="1" x14ac:dyDescent="0.25">
      <c r="A80" t="e">
        <f>#REF!&amp;#REF!</f>
        <v>#REF!</v>
      </c>
      <c r="B80" s="3" t="s">
        <v>84</v>
      </c>
      <c r="C80" s="3" t="s">
        <v>219</v>
      </c>
      <c r="D80" s="3"/>
      <c r="E80" s="3" t="s">
        <v>246</v>
      </c>
      <c r="F80" s="3" t="s">
        <v>22</v>
      </c>
      <c r="G80" s="3" t="s">
        <v>247</v>
      </c>
      <c r="H80" s="11">
        <v>4500</v>
      </c>
      <c r="I80" s="11"/>
      <c r="J80" s="3"/>
      <c r="K80" s="3"/>
      <c r="L80" s="3"/>
      <c r="M80" s="3"/>
      <c r="N80" s="4">
        <f t="shared" si="4"/>
        <v>-100</v>
      </c>
    </row>
    <row r="81" spans="1:14" ht="39" customHeight="1" x14ac:dyDescent="0.25">
      <c r="A81" t="e">
        <f>#REF!&amp;#REF!</f>
        <v>#REF!</v>
      </c>
      <c r="B81" s="3" t="s">
        <v>84</v>
      </c>
      <c r="C81" s="3" t="s">
        <v>219</v>
      </c>
      <c r="D81" s="3"/>
      <c r="E81" s="3" t="s">
        <v>248</v>
      </c>
      <c r="F81" s="3" t="s">
        <v>22</v>
      </c>
      <c r="G81" s="3" t="s">
        <v>249</v>
      </c>
      <c r="H81" s="11">
        <v>40000</v>
      </c>
      <c r="I81" s="11"/>
      <c r="J81" s="3"/>
      <c r="K81" s="3"/>
      <c r="L81" s="3"/>
      <c r="M81" s="3"/>
      <c r="N81" s="4">
        <f t="shared" si="4"/>
        <v>-100</v>
      </c>
    </row>
    <row r="82" spans="1:14" ht="39" customHeight="1" x14ac:dyDescent="0.25">
      <c r="A82" t="e">
        <f>#REF!&amp;#REF!</f>
        <v>#REF!</v>
      </c>
      <c r="B82" s="3" t="s">
        <v>84</v>
      </c>
      <c r="C82" s="3" t="s">
        <v>219</v>
      </c>
      <c r="D82" s="3"/>
      <c r="E82" s="3" t="s">
        <v>250</v>
      </c>
      <c r="F82" s="3" t="s">
        <v>33</v>
      </c>
      <c r="G82" s="3" t="s">
        <v>251</v>
      </c>
      <c r="H82" s="11">
        <v>500</v>
      </c>
      <c r="I82" s="11"/>
      <c r="J82" s="3"/>
      <c r="K82" s="3"/>
      <c r="L82" s="3"/>
      <c r="M82" s="3"/>
      <c r="N82" s="4">
        <f t="shared" si="4"/>
        <v>-100</v>
      </c>
    </row>
    <row r="83" spans="1:14" ht="39" customHeight="1" x14ac:dyDescent="0.25">
      <c r="A83" t="e">
        <f>#REF!&amp;#REF!</f>
        <v>#REF!</v>
      </c>
      <c r="B83" s="3" t="s">
        <v>84</v>
      </c>
      <c r="C83" s="3" t="s">
        <v>219</v>
      </c>
      <c r="D83" s="3"/>
      <c r="E83" s="3" t="s">
        <v>250</v>
      </c>
      <c r="F83" s="3" t="s">
        <v>59</v>
      </c>
      <c r="G83" s="3" t="s">
        <v>252</v>
      </c>
      <c r="H83" s="11">
        <v>600</v>
      </c>
      <c r="I83" s="11"/>
      <c r="J83" s="3"/>
      <c r="K83" s="3"/>
      <c r="L83" s="3"/>
      <c r="M83" s="3"/>
      <c r="N83" s="4">
        <f t="shared" si="4"/>
        <v>-100</v>
      </c>
    </row>
    <row r="84" spans="1:14" ht="39" customHeight="1" x14ac:dyDescent="0.25">
      <c r="A84" t="e">
        <f>#REF!&amp;#REF!</f>
        <v>#REF!</v>
      </c>
      <c r="B84" s="3" t="s">
        <v>84</v>
      </c>
      <c r="C84" s="3" t="s">
        <v>219</v>
      </c>
      <c r="D84" s="3"/>
      <c r="E84" s="3" t="s">
        <v>253</v>
      </c>
      <c r="F84" s="3" t="s">
        <v>22</v>
      </c>
      <c r="G84" s="3" t="s">
        <v>254</v>
      </c>
      <c r="H84" s="11">
        <v>2000</v>
      </c>
      <c r="I84" s="11"/>
      <c r="J84" s="3"/>
      <c r="K84" s="3"/>
      <c r="L84" s="3"/>
      <c r="M84" s="3"/>
      <c r="N84" s="4">
        <f t="shared" si="4"/>
        <v>-100</v>
      </c>
    </row>
    <row r="85" spans="1:14" ht="39" customHeight="1" x14ac:dyDescent="0.25">
      <c r="A85" t="e">
        <f>#REF!&amp;#REF!</f>
        <v>#REF!</v>
      </c>
      <c r="B85" s="3" t="s">
        <v>84</v>
      </c>
      <c r="C85" s="3" t="s">
        <v>219</v>
      </c>
      <c r="D85" s="3"/>
      <c r="E85" s="3" t="s">
        <v>255</v>
      </c>
      <c r="F85" s="3" t="s">
        <v>22</v>
      </c>
      <c r="G85" s="3" t="s">
        <v>256</v>
      </c>
      <c r="H85" s="11">
        <v>11700</v>
      </c>
      <c r="I85" s="11"/>
      <c r="J85" s="3"/>
      <c r="K85" s="3"/>
      <c r="L85" s="3"/>
      <c r="M85" s="3"/>
      <c r="N85" s="4">
        <f t="shared" si="4"/>
        <v>-100</v>
      </c>
    </row>
    <row r="86" spans="1:14" ht="39" customHeight="1" x14ac:dyDescent="0.25">
      <c r="A86" t="str">
        <f t="shared" ref="A86:A94" si="5">E48&amp;H48</f>
        <v>021200055212600</v>
      </c>
      <c r="B86" s="3" t="s">
        <v>84</v>
      </c>
      <c r="C86" s="3" t="s">
        <v>219</v>
      </c>
      <c r="D86" s="3"/>
      <c r="E86" s="3" t="s">
        <v>257</v>
      </c>
      <c r="F86" s="3" t="s">
        <v>22</v>
      </c>
      <c r="G86" s="3" t="s">
        <v>256</v>
      </c>
      <c r="H86" s="11">
        <v>11700</v>
      </c>
      <c r="I86" s="11"/>
      <c r="J86" s="3"/>
      <c r="K86" s="3"/>
      <c r="L86" s="3"/>
      <c r="M86" s="3"/>
      <c r="N86" s="4">
        <f t="shared" si="4"/>
        <v>-100</v>
      </c>
    </row>
    <row r="87" spans="1:14" ht="39" customHeight="1" x14ac:dyDescent="0.25">
      <c r="A87" t="str">
        <f t="shared" si="5"/>
        <v>021200055282000</v>
      </c>
      <c r="B87" s="3" t="s">
        <v>84</v>
      </c>
      <c r="C87" s="3" t="s">
        <v>219</v>
      </c>
      <c r="D87" s="3"/>
      <c r="E87" s="3" t="s">
        <v>258</v>
      </c>
      <c r="F87" s="3" t="s">
        <v>43</v>
      </c>
      <c r="G87" s="3" t="s">
        <v>259</v>
      </c>
      <c r="H87" s="11">
        <v>6500</v>
      </c>
      <c r="I87" s="11"/>
      <c r="J87" s="3"/>
      <c r="K87" s="3"/>
      <c r="L87" s="3"/>
      <c r="M87" s="3"/>
      <c r="N87" s="4">
        <f t="shared" si="4"/>
        <v>-100</v>
      </c>
    </row>
    <row r="88" spans="1:14" ht="39" customHeight="1" x14ac:dyDescent="0.25">
      <c r="A88" t="str">
        <f t="shared" si="5"/>
        <v>021200055292000</v>
      </c>
      <c r="B88" s="3" t="s">
        <v>84</v>
      </c>
      <c r="C88" s="3" t="s">
        <v>219</v>
      </c>
      <c r="D88" s="3"/>
      <c r="E88" s="3" t="s">
        <v>260</v>
      </c>
      <c r="F88" s="3" t="s">
        <v>22</v>
      </c>
      <c r="G88" s="3" t="s">
        <v>261</v>
      </c>
      <c r="H88" s="11">
        <v>3600</v>
      </c>
      <c r="I88" s="11"/>
      <c r="J88" s="3"/>
      <c r="K88" s="3"/>
      <c r="L88" s="3"/>
      <c r="M88" s="3"/>
      <c r="N88" s="4">
        <f t="shared" si="4"/>
        <v>-100</v>
      </c>
    </row>
    <row r="89" spans="1:14" ht="39" customHeight="1" x14ac:dyDescent="0.25">
      <c r="A89" t="str">
        <f t="shared" si="5"/>
        <v>021200055306000</v>
      </c>
      <c r="B89" s="3" t="s">
        <v>84</v>
      </c>
      <c r="C89" s="3" t="s">
        <v>219</v>
      </c>
      <c r="D89" s="3"/>
      <c r="E89" s="3" t="s">
        <v>262</v>
      </c>
      <c r="F89" s="3" t="s">
        <v>30</v>
      </c>
      <c r="G89" s="3" t="s">
        <v>263</v>
      </c>
      <c r="H89" s="11">
        <v>7000</v>
      </c>
      <c r="I89" s="11"/>
      <c r="J89" s="3"/>
      <c r="K89" s="3"/>
      <c r="L89" s="3"/>
      <c r="M89" s="3"/>
      <c r="N89" s="4">
        <f t="shared" si="4"/>
        <v>-100</v>
      </c>
    </row>
    <row r="90" spans="1:14" ht="39" customHeight="1" x14ac:dyDescent="0.25">
      <c r="A90" t="str">
        <f t="shared" si="5"/>
        <v>02120005548300</v>
      </c>
      <c r="B90" s="3" t="s">
        <v>84</v>
      </c>
      <c r="C90" s="3" t="s">
        <v>264</v>
      </c>
      <c r="D90" s="3"/>
      <c r="E90" s="3" t="s">
        <v>265</v>
      </c>
      <c r="F90" s="3" t="s">
        <v>29</v>
      </c>
      <c r="G90" s="3" t="s">
        <v>266</v>
      </c>
      <c r="H90" s="11">
        <v>2400</v>
      </c>
      <c r="I90" s="11"/>
      <c r="J90" s="3"/>
      <c r="K90" s="3"/>
      <c r="L90" s="3"/>
      <c r="M90" s="3"/>
      <c r="N90" s="4">
        <f t="shared" si="4"/>
        <v>-100</v>
      </c>
    </row>
    <row r="91" spans="1:14" ht="39" customHeight="1" x14ac:dyDescent="0.25">
      <c r="A91" t="str">
        <f t="shared" si="5"/>
        <v>021200055566600</v>
      </c>
      <c r="B91" s="3" t="s">
        <v>84</v>
      </c>
      <c r="C91" s="3" t="s">
        <v>264</v>
      </c>
      <c r="D91" s="3"/>
      <c r="E91" s="3" t="s">
        <v>265</v>
      </c>
      <c r="F91" s="3" t="s">
        <v>59</v>
      </c>
      <c r="G91" s="3" t="s">
        <v>267</v>
      </c>
      <c r="H91" s="11">
        <v>2800</v>
      </c>
      <c r="I91" s="11"/>
      <c r="J91" s="3"/>
      <c r="K91" s="3"/>
      <c r="L91" s="3"/>
      <c r="M91" s="3"/>
      <c r="N91" s="4">
        <f t="shared" si="4"/>
        <v>-100</v>
      </c>
    </row>
    <row r="92" spans="1:14" ht="39" customHeight="1" x14ac:dyDescent="0.25">
      <c r="A92" t="str">
        <f t="shared" si="5"/>
        <v>0212000556221500</v>
      </c>
      <c r="B92" s="3" t="s">
        <v>84</v>
      </c>
      <c r="C92" s="3" t="s">
        <v>264</v>
      </c>
      <c r="D92" s="3"/>
      <c r="E92" s="3" t="s">
        <v>268</v>
      </c>
      <c r="F92" s="3" t="s">
        <v>22</v>
      </c>
      <c r="G92" s="3" t="s">
        <v>269</v>
      </c>
      <c r="H92" s="11">
        <v>10000</v>
      </c>
      <c r="I92" s="11"/>
      <c r="J92" s="3"/>
      <c r="K92" s="3"/>
      <c r="L92" s="3"/>
      <c r="M92" s="3"/>
      <c r="N92" s="4">
        <f t="shared" si="4"/>
        <v>-100</v>
      </c>
    </row>
    <row r="93" spans="1:14" ht="39" customHeight="1" x14ac:dyDescent="0.25">
      <c r="A93" t="str">
        <f t="shared" si="5"/>
        <v>0212000558010100</v>
      </c>
      <c r="B93" s="3" t="s">
        <v>84</v>
      </c>
      <c r="C93" s="3" t="s">
        <v>264</v>
      </c>
      <c r="D93" s="3"/>
      <c r="E93" s="3" t="s">
        <v>270</v>
      </c>
      <c r="F93" s="3" t="s">
        <v>49</v>
      </c>
      <c r="G93" s="3" t="s">
        <v>271</v>
      </c>
      <c r="H93" s="11">
        <v>3400</v>
      </c>
      <c r="I93" s="11"/>
      <c r="J93" s="3"/>
      <c r="K93" s="3"/>
      <c r="L93" s="3"/>
      <c r="M93" s="3"/>
      <c r="N93" s="4">
        <f t="shared" si="4"/>
        <v>-100</v>
      </c>
    </row>
    <row r="94" spans="1:14" ht="39" customHeight="1" x14ac:dyDescent="0.25">
      <c r="A94" t="str">
        <f t="shared" si="5"/>
        <v>021200055852000</v>
      </c>
      <c r="B94" s="3" t="s">
        <v>84</v>
      </c>
      <c r="C94" s="3" t="s">
        <v>264</v>
      </c>
      <c r="D94" s="3"/>
      <c r="E94" s="3" t="s">
        <v>272</v>
      </c>
      <c r="F94" s="3" t="s">
        <v>25</v>
      </c>
      <c r="G94" s="3" t="s">
        <v>273</v>
      </c>
      <c r="H94" s="11">
        <v>22000</v>
      </c>
      <c r="I94" s="11"/>
      <c r="J94" s="3"/>
      <c r="K94" s="3"/>
      <c r="L94" s="3"/>
      <c r="M94" s="3"/>
      <c r="N94" s="4">
        <f t="shared" si="4"/>
        <v>-100</v>
      </c>
    </row>
    <row r="95" spans="1:14" ht="39" customHeight="1" x14ac:dyDescent="0.25">
      <c r="A95" t="str">
        <f t="shared" ref="A95:A158" si="6">E57&amp;H57</f>
        <v>02120005612900</v>
      </c>
      <c r="B95" s="3" t="s">
        <v>84</v>
      </c>
      <c r="C95" s="3" t="s">
        <v>264</v>
      </c>
      <c r="D95" s="3"/>
      <c r="E95" s="3" t="s">
        <v>274</v>
      </c>
      <c r="F95" s="3" t="s">
        <v>275</v>
      </c>
      <c r="G95" s="3" t="s">
        <v>276</v>
      </c>
      <c r="H95" s="11">
        <v>3000</v>
      </c>
      <c r="I95" s="11"/>
      <c r="J95" s="3"/>
      <c r="K95" s="3"/>
      <c r="L95" s="3"/>
      <c r="M95" s="3"/>
      <c r="N95" s="4">
        <f t="shared" si="4"/>
        <v>-100</v>
      </c>
    </row>
    <row r="96" spans="1:14" ht="39" customHeight="1" x14ac:dyDescent="0.25">
      <c r="A96" t="str">
        <f t="shared" si="6"/>
        <v>02120005832500</v>
      </c>
      <c r="B96" s="3" t="s">
        <v>84</v>
      </c>
      <c r="C96" s="3" t="s">
        <v>264</v>
      </c>
      <c r="D96" s="3"/>
      <c r="E96" s="3" t="s">
        <v>277</v>
      </c>
      <c r="F96" s="3" t="s">
        <v>22</v>
      </c>
      <c r="G96" s="3" t="s">
        <v>278</v>
      </c>
      <c r="H96" s="11">
        <v>5900</v>
      </c>
      <c r="I96" s="11"/>
      <c r="J96" s="3"/>
      <c r="K96" s="3"/>
      <c r="L96" s="3"/>
      <c r="M96" s="3"/>
      <c r="N96" s="4">
        <f t="shared" si="4"/>
        <v>-100</v>
      </c>
    </row>
    <row r="97" spans="1:14" ht="39" customHeight="1" x14ac:dyDescent="0.25">
      <c r="A97" t="str">
        <f t="shared" si="6"/>
        <v>021200058521000</v>
      </c>
      <c r="B97" s="3" t="s">
        <v>84</v>
      </c>
      <c r="C97" s="3" t="s">
        <v>264</v>
      </c>
      <c r="D97" s="3"/>
      <c r="E97" s="3" t="s">
        <v>279</v>
      </c>
      <c r="F97" s="3" t="s">
        <v>22</v>
      </c>
      <c r="G97" s="3" t="s">
        <v>280</v>
      </c>
      <c r="H97" s="11">
        <v>3900</v>
      </c>
      <c r="I97" s="11"/>
      <c r="J97" s="3"/>
      <c r="K97" s="3"/>
      <c r="L97" s="3"/>
      <c r="M97" s="3"/>
      <c r="N97" s="4">
        <f t="shared" si="4"/>
        <v>-100</v>
      </c>
    </row>
    <row r="98" spans="1:14" ht="39" customHeight="1" x14ac:dyDescent="0.25">
      <c r="A98" t="str">
        <f t="shared" si="6"/>
        <v>0212000593424000</v>
      </c>
      <c r="B98" s="3" t="s">
        <v>84</v>
      </c>
      <c r="C98" s="3" t="s">
        <v>264</v>
      </c>
      <c r="D98" s="3"/>
      <c r="E98" s="3" t="s">
        <v>281</v>
      </c>
      <c r="F98" s="3" t="s">
        <v>22</v>
      </c>
      <c r="G98" s="3" t="s">
        <v>282</v>
      </c>
      <c r="H98" s="11">
        <v>28000</v>
      </c>
      <c r="I98" s="11"/>
      <c r="J98" s="3"/>
      <c r="K98" s="3"/>
      <c r="L98" s="3"/>
      <c r="M98" s="3"/>
      <c r="N98" s="4">
        <f t="shared" si="4"/>
        <v>-100</v>
      </c>
    </row>
    <row r="99" spans="1:14" ht="39" customHeight="1" x14ac:dyDescent="0.25">
      <c r="A99" t="str">
        <f t="shared" si="6"/>
        <v>0224000406810752</v>
      </c>
      <c r="B99" s="3" t="s">
        <v>84</v>
      </c>
      <c r="C99" s="3" t="s">
        <v>264</v>
      </c>
      <c r="D99" s="3"/>
      <c r="E99" s="3" t="s">
        <v>283</v>
      </c>
      <c r="F99" s="3" t="s">
        <v>22</v>
      </c>
      <c r="G99" s="3" t="s">
        <v>284</v>
      </c>
      <c r="H99" s="11">
        <v>11200</v>
      </c>
      <c r="I99" s="11"/>
      <c r="J99" s="3"/>
      <c r="K99" s="3"/>
      <c r="L99" s="3"/>
      <c r="M99" s="3"/>
      <c r="N99" s="4">
        <f t="shared" si="4"/>
        <v>-100</v>
      </c>
    </row>
    <row r="100" spans="1:14" ht="39" customHeight="1" x14ac:dyDescent="0.25">
      <c r="A100" t="str">
        <f t="shared" si="6"/>
        <v>0224000508525000</v>
      </c>
      <c r="B100" s="3" t="s">
        <v>84</v>
      </c>
      <c r="C100" s="3" t="s">
        <v>264</v>
      </c>
      <c r="D100" s="3"/>
      <c r="E100" s="3" t="s">
        <v>285</v>
      </c>
      <c r="F100" s="3" t="s">
        <v>22</v>
      </c>
      <c r="G100" s="3" t="s">
        <v>286</v>
      </c>
      <c r="H100" s="11">
        <v>5000</v>
      </c>
      <c r="I100" s="11"/>
      <c r="J100" s="3"/>
      <c r="K100" s="3"/>
      <c r="L100" s="3"/>
      <c r="M100" s="3"/>
      <c r="N100" s="4">
        <f t="shared" si="4"/>
        <v>-100</v>
      </c>
    </row>
    <row r="101" spans="1:14" ht="39" customHeight="1" x14ac:dyDescent="0.25">
      <c r="A101" t="str">
        <f t="shared" si="6"/>
        <v>022400052551300</v>
      </c>
      <c r="B101" s="3" t="s">
        <v>84</v>
      </c>
      <c r="C101" s="3" t="s">
        <v>287</v>
      </c>
      <c r="D101" s="3"/>
      <c r="E101" s="3" t="s">
        <v>288</v>
      </c>
      <c r="F101" s="3" t="s">
        <v>30</v>
      </c>
      <c r="G101" s="3" t="s">
        <v>289</v>
      </c>
      <c r="H101" s="11">
        <v>13000</v>
      </c>
      <c r="I101" s="11"/>
      <c r="J101" s="3"/>
      <c r="K101" s="3"/>
      <c r="L101" s="3"/>
      <c r="M101" s="3"/>
      <c r="N101" s="4">
        <f t="shared" si="4"/>
        <v>-100</v>
      </c>
    </row>
    <row r="102" spans="1:14" ht="39" customHeight="1" x14ac:dyDescent="0.25">
      <c r="A102" t="str">
        <f t="shared" si="6"/>
        <v>022400054074500</v>
      </c>
      <c r="B102" s="3" t="s">
        <v>84</v>
      </c>
      <c r="C102" s="3" t="s">
        <v>287</v>
      </c>
      <c r="D102" s="3"/>
      <c r="E102" s="3" t="s">
        <v>290</v>
      </c>
      <c r="F102" s="3" t="s">
        <v>24</v>
      </c>
      <c r="G102" s="3" t="s">
        <v>291</v>
      </c>
      <c r="H102" s="11">
        <v>3000</v>
      </c>
      <c r="I102" s="11"/>
      <c r="J102" s="3"/>
      <c r="K102" s="3"/>
      <c r="L102" s="3"/>
      <c r="M102" s="3"/>
      <c r="N102" s="4">
        <f t="shared" si="4"/>
        <v>-100</v>
      </c>
    </row>
    <row r="103" spans="1:14" ht="39" customHeight="1" x14ac:dyDescent="0.25">
      <c r="A103" t="str">
        <f t="shared" si="6"/>
        <v>022400054115300</v>
      </c>
      <c r="B103" s="3" t="s">
        <v>84</v>
      </c>
      <c r="C103" s="3" t="s">
        <v>287</v>
      </c>
      <c r="D103" s="3"/>
      <c r="E103" s="3" t="s">
        <v>292</v>
      </c>
      <c r="F103" s="3" t="s">
        <v>34</v>
      </c>
      <c r="G103" s="3" t="s">
        <v>293</v>
      </c>
      <c r="H103" s="11">
        <v>9000</v>
      </c>
      <c r="I103" s="11"/>
      <c r="J103" s="3"/>
      <c r="K103" s="3"/>
      <c r="L103" s="3"/>
      <c r="M103" s="3"/>
      <c r="N103" s="4">
        <f t="shared" si="4"/>
        <v>-100</v>
      </c>
    </row>
    <row r="104" spans="1:14" ht="39" customHeight="1" x14ac:dyDescent="0.25">
      <c r="A104" t="str">
        <f t="shared" si="6"/>
        <v>022400056233000</v>
      </c>
      <c r="B104" s="3" t="s">
        <v>84</v>
      </c>
      <c r="C104" s="3" t="s">
        <v>287</v>
      </c>
      <c r="D104" s="3"/>
      <c r="E104" s="3" t="s">
        <v>294</v>
      </c>
      <c r="F104" s="3" t="s">
        <v>22</v>
      </c>
      <c r="G104" s="3" t="s">
        <v>295</v>
      </c>
      <c r="H104" s="11">
        <v>27800</v>
      </c>
      <c r="I104" s="11"/>
      <c r="J104" s="3"/>
      <c r="K104" s="3"/>
      <c r="L104" s="3"/>
      <c r="M104" s="3"/>
      <c r="N104" s="4">
        <f t="shared" si="4"/>
        <v>-100</v>
      </c>
    </row>
    <row r="105" spans="1:14" ht="39" customHeight="1" x14ac:dyDescent="0.25">
      <c r="A105" t="str">
        <f t="shared" si="6"/>
        <v>026100058434000</v>
      </c>
      <c r="B105" s="3" t="s">
        <v>84</v>
      </c>
      <c r="C105" s="3" t="s">
        <v>287</v>
      </c>
      <c r="D105" s="3"/>
      <c r="E105" s="3" t="s">
        <v>296</v>
      </c>
      <c r="F105" s="3" t="s">
        <v>20</v>
      </c>
      <c r="G105" s="3" t="s">
        <v>297</v>
      </c>
      <c r="H105" s="11">
        <v>24000</v>
      </c>
      <c r="I105" s="11"/>
      <c r="J105" s="3"/>
      <c r="K105" s="3"/>
      <c r="L105" s="3"/>
      <c r="M105" s="3"/>
      <c r="N105" s="4">
        <f t="shared" si="4"/>
        <v>-100</v>
      </c>
    </row>
    <row r="106" spans="1:14" ht="39" customHeight="1" x14ac:dyDescent="0.25">
      <c r="A106" t="str">
        <f t="shared" si="6"/>
        <v>026100066771000</v>
      </c>
      <c r="B106" s="3" t="s">
        <v>84</v>
      </c>
      <c r="C106" s="3" t="s">
        <v>287</v>
      </c>
      <c r="D106" s="3"/>
      <c r="E106" s="3" t="s">
        <v>298</v>
      </c>
      <c r="F106" s="3" t="s">
        <v>38</v>
      </c>
      <c r="G106" s="3" t="s">
        <v>299</v>
      </c>
      <c r="H106" s="11">
        <v>600</v>
      </c>
      <c r="I106" s="11"/>
      <c r="J106" s="3"/>
      <c r="K106" s="3"/>
      <c r="L106" s="3"/>
      <c r="M106" s="3"/>
      <c r="N106" s="4">
        <f t="shared" si="4"/>
        <v>-100</v>
      </c>
    </row>
    <row r="107" spans="1:14" ht="39" customHeight="1" x14ac:dyDescent="0.25">
      <c r="A107" t="str">
        <f t="shared" si="6"/>
        <v>02610007065800</v>
      </c>
      <c r="B107" s="3" t="s">
        <v>84</v>
      </c>
      <c r="C107" s="3" t="s">
        <v>287</v>
      </c>
      <c r="D107" s="3"/>
      <c r="E107" s="3" t="s">
        <v>300</v>
      </c>
      <c r="F107" s="3" t="s">
        <v>19</v>
      </c>
      <c r="G107" s="3" t="s">
        <v>301</v>
      </c>
      <c r="H107" s="11">
        <v>1500</v>
      </c>
      <c r="I107" s="11"/>
      <c r="J107" s="3"/>
      <c r="K107" s="3"/>
      <c r="L107" s="3"/>
      <c r="M107" s="3"/>
      <c r="N107" s="4">
        <f t="shared" si="4"/>
        <v>-100</v>
      </c>
    </row>
    <row r="108" spans="1:14" ht="39" customHeight="1" x14ac:dyDescent="0.25">
      <c r="A108" t="str">
        <f t="shared" si="6"/>
        <v>026100071003900</v>
      </c>
      <c r="B108" s="3" t="s">
        <v>84</v>
      </c>
      <c r="C108" s="3" t="s">
        <v>287</v>
      </c>
      <c r="D108" s="3"/>
      <c r="E108" s="3" t="s">
        <v>300</v>
      </c>
      <c r="F108" s="3" t="s">
        <v>59</v>
      </c>
      <c r="G108" s="3" t="s">
        <v>302</v>
      </c>
      <c r="H108" s="11">
        <v>3400</v>
      </c>
      <c r="I108" s="11"/>
      <c r="J108" s="3"/>
      <c r="K108" s="3"/>
      <c r="L108" s="3"/>
      <c r="M108" s="3"/>
      <c r="N108" s="4">
        <f t="shared" si="4"/>
        <v>-100</v>
      </c>
    </row>
    <row r="109" spans="1:14" ht="39" customHeight="1" x14ac:dyDescent="0.25">
      <c r="A109" t="str">
        <f t="shared" si="6"/>
        <v>026100071043000</v>
      </c>
      <c r="B109" s="3" t="s">
        <v>84</v>
      </c>
      <c r="C109" s="3" t="s">
        <v>287</v>
      </c>
      <c r="D109" s="3"/>
      <c r="E109" s="3" t="s">
        <v>303</v>
      </c>
      <c r="F109" s="3" t="s">
        <v>38</v>
      </c>
      <c r="G109" s="3" t="s">
        <v>304</v>
      </c>
      <c r="H109" s="11">
        <v>3000</v>
      </c>
      <c r="I109" s="11"/>
      <c r="J109" s="3"/>
      <c r="K109" s="3"/>
      <c r="L109" s="3"/>
      <c r="M109" s="3"/>
      <c r="N109" s="4">
        <f t="shared" si="4"/>
        <v>-100</v>
      </c>
    </row>
    <row r="110" spans="1:14" ht="39" customHeight="1" x14ac:dyDescent="0.25">
      <c r="A110" t="str">
        <f t="shared" si="6"/>
        <v>02610007133800</v>
      </c>
      <c r="B110" s="3" t="s">
        <v>84</v>
      </c>
      <c r="C110" s="3" t="s">
        <v>287</v>
      </c>
      <c r="D110" s="3"/>
      <c r="E110" s="3" t="s">
        <v>305</v>
      </c>
      <c r="F110" s="3" t="s">
        <v>25</v>
      </c>
      <c r="G110" s="3" t="s">
        <v>306</v>
      </c>
      <c r="H110" s="11">
        <v>17000</v>
      </c>
      <c r="I110" s="11"/>
      <c r="J110" s="3"/>
      <c r="K110" s="3"/>
      <c r="L110" s="3"/>
      <c r="M110" s="3"/>
      <c r="N110" s="4">
        <f t="shared" si="4"/>
        <v>-100</v>
      </c>
    </row>
    <row r="111" spans="1:14" ht="39" customHeight="1" x14ac:dyDescent="0.25">
      <c r="A111" t="str">
        <f t="shared" si="6"/>
        <v>026100072611700</v>
      </c>
      <c r="B111" s="3" t="s">
        <v>84</v>
      </c>
      <c r="C111" s="3" t="s">
        <v>287</v>
      </c>
      <c r="D111" s="3"/>
      <c r="E111" s="3" t="s">
        <v>307</v>
      </c>
      <c r="F111" s="3" t="s">
        <v>22</v>
      </c>
      <c r="G111" s="3" t="s">
        <v>308</v>
      </c>
      <c r="H111" s="11">
        <v>4600</v>
      </c>
      <c r="I111" s="11"/>
      <c r="J111" s="3"/>
      <c r="K111" s="3"/>
      <c r="L111" s="3"/>
      <c r="M111" s="3"/>
      <c r="N111" s="4">
        <f t="shared" si="4"/>
        <v>-100</v>
      </c>
    </row>
    <row r="112" spans="1:14" ht="39" customHeight="1" x14ac:dyDescent="0.25">
      <c r="A112" t="str">
        <f t="shared" si="6"/>
        <v>0261000732740000</v>
      </c>
      <c r="B112" s="3" t="s">
        <v>84</v>
      </c>
      <c r="C112" s="3" t="s">
        <v>287</v>
      </c>
      <c r="D112" s="3"/>
      <c r="E112" s="3" t="s">
        <v>309</v>
      </c>
      <c r="F112" s="3" t="s">
        <v>40</v>
      </c>
      <c r="G112" s="3" t="s">
        <v>310</v>
      </c>
      <c r="H112" s="11">
        <v>80000</v>
      </c>
      <c r="I112" s="11"/>
      <c r="J112" s="3"/>
      <c r="K112" s="3"/>
      <c r="L112" s="3"/>
      <c r="M112" s="3"/>
      <c r="N112" s="4">
        <f t="shared" si="4"/>
        <v>-100</v>
      </c>
    </row>
    <row r="113" spans="1:14" ht="39" customHeight="1" x14ac:dyDescent="0.25">
      <c r="A113" t="str">
        <f t="shared" si="6"/>
        <v>026100079152400</v>
      </c>
      <c r="B113" s="3" t="s">
        <v>84</v>
      </c>
      <c r="C113" s="3" t="s">
        <v>311</v>
      </c>
      <c r="D113" s="3"/>
      <c r="E113" s="3" t="s">
        <v>312</v>
      </c>
      <c r="F113" s="3" t="s">
        <v>22</v>
      </c>
      <c r="G113" s="3" t="s">
        <v>313</v>
      </c>
      <c r="H113" s="11">
        <v>6000</v>
      </c>
      <c r="I113" s="11"/>
      <c r="J113" s="3"/>
      <c r="K113" s="3"/>
      <c r="L113" s="3"/>
      <c r="M113" s="3"/>
      <c r="N113" s="4">
        <f t="shared" si="4"/>
        <v>-100</v>
      </c>
    </row>
    <row r="114" spans="1:14" ht="39" customHeight="1" x14ac:dyDescent="0.25">
      <c r="A114" t="str">
        <f t="shared" si="6"/>
        <v>026100079181200</v>
      </c>
      <c r="B114" s="3" t="s">
        <v>84</v>
      </c>
      <c r="C114" s="3" t="s">
        <v>311</v>
      </c>
      <c r="D114" s="3"/>
      <c r="E114" s="3" t="s">
        <v>314</v>
      </c>
      <c r="F114" s="3" t="s">
        <v>22</v>
      </c>
      <c r="G114" s="3" t="s">
        <v>315</v>
      </c>
      <c r="H114" s="11">
        <v>23700</v>
      </c>
      <c r="I114" s="11"/>
      <c r="J114" s="3"/>
      <c r="K114" s="3"/>
      <c r="L114" s="3"/>
      <c r="M114" s="3"/>
      <c r="N114" s="4">
        <f t="shared" si="4"/>
        <v>-100</v>
      </c>
    </row>
    <row r="115" spans="1:14" ht="39" customHeight="1" x14ac:dyDescent="0.25">
      <c r="A115" t="str">
        <f t="shared" si="6"/>
        <v>02610007936600</v>
      </c>
      <c r="B115" s="3" t="s">
        <v>84</v>
      </c>
      <c r="C115" s="3" t="s">
        <v>316</v>
      </c>
      <c r="D115" s="3"/>
      <c r="E115" s="3" t="s">
        <v>317</v>
      </c>
      <c r="F115" s="3" t="s">
        <v>22</v>
      </c>
      <c r="G115" s="3" t="s">
        <v>318</v>
      </c>
      <c r="H115" s="11">
        <v>25000</v>
      </c>
      <c r="I115" s="11"/>
      <c r="J115" s="3"/>
      <c r="K115" s="3"/>
      <c r="L115" s="3"/>
      <c r="M115" s="3"/>
      <c r="N115" s="4">
        <f t="shared" si="4"/>
        <v>-100</v>
      </c>
    </row>
    <row r="116" spans="1:14" ht="39" customHeight="1" x14ac:dyDescent="0.25">
      <c r="A116" t="str">
        <f t="shared" si="6"/>
        <v>026100079467600</v>
      </c>
      <c r="B116" s="3" t="s">
        <v>84</v>
      </c>
      <c r="C116" s="3" t="s">
        <v>316</v>
      </c>
      <c r="D116" s="3"/>
      <c r="E116" s="3" t="s">
        <v>319</v>
      </c>
      <c r="F116" s="3" t="s">
        <v>22</v>
      </c>
      <c r="G116" s="3" t="s">
        <v>320</v>
      </c>
      <c r="H116" s="11">
        <v>34500</v>
      </c>
      <c r="I116" s="11"/>
      <c r="J116" s="3"/>
      <c r="K116" s="3"/>
      <c r="L116" s="3"/>
      <c r="M116" s="3"/>
      <c r="N116" s="4">
        <f t="shared" si="4"/>
        <v>-100</v>
      </c>
    </row>
    <row r="117" spans="1:14" ht="39" customHeight="1" x14ac:dyDescent="0.25">
      <c r="A117" t="str">
        <f t="shared" si="6"/>
        <v>02610007954500</v>
      </c>
      <c r="B117" s="3" t="s">
        <v>84</v>
      </c>
      <c r="C117" s="3" t="s">
        <v>316</v>
      </c>
      <c r="D117" s="3"/>
      <c r="E117" s="3" t="s">
        <v>321</v>
      </c>
      <c r="F117" s="3" t="s">
        <v>22</v>
      </c>
      <c r="G117" s="3" t="s">
        <v>322</v>
      </c>
      <c r="H117" s="11">
        <v>25000</v>
      </c>
      <c r="I117" s="11"/>
      <c r="J117" s="3"/>
      <c r="K117" s="3"/>
      <c r="L117" s="3"/>
      <c r="M117" s="3"/>
      <c r="N117" s="4">
        <f t="shared" si="4"/>
        <v>-100</v>
      </c>
    </row>
    <row r="118" spans="1:14" ht="39" customHeight="1" x14ac:dyDescent="0.25">
      <c r="A118" t="str">
        <f t="shared" si="6"/>
        <v>026100079784500</v>
      </c>
      <c r="B118" s="3" t="s">
        <v>84</v>
      </c>
      <c r="C118" s="3" t="s">
        <v>316</v>
      </c>
      <c r="D118" s="3"/>
      <c r="E118" s="3" t="s">
        <v>323</v>
      </c>
      <c r="F118" s="3" t="s">
        <v>43</v>
      </c>
      <c r="G118" s="3" t="s">
        <v>324</v>
      </c>
      <c r="H118" s="11">
        <v>300</v>
      </c>
      <c r="I118" s="11"/>
      <c r="J118" s="3"/>
      <c r="K118" s="3"/>
      <c r="L118" s="3"/>
      <c r="M118" s="3"/>
      <c r="N118" s="4">
        <f t="shared" si="4"/>
        <v>-100</v>
      </c>
    </row>
    <row r="119" spans="1:14" ht="39" customHeight="1" x14ac:dyDescent="0.25">
      <c r="A119" t="str">
        <f t="shared" si="6"/>
        <v>0261000798840000</v>
      </c>
      <c r="B119" s="3" t="s">
        <v>84</v>
      </c>
      <c r="C119" s="3" t="s">
        <v>325</v>
      </c>
      <c r="D119" s="3"/>
      <c r="E119" s="3" t="s">
        <v>326</v>
      </c>
      <c r="F119" s="3" t="s">
        <v>22</v>
      </c>
      <c r="G119" s="3" t="s">
        <v>327</v>
      </c>
      <c r="H119" s="11">
        <v>33500</v>
      </c>
      <c r="I119" s="11"/>
      <c r="J119" s="3"/>
      <c r="K119" s="3"/>
      <c r="L119" s="3"/>
      <c r="M119" s="3"/>
      <c r="N119" s="4">
        <f t="shared" si="4"/>
        <v>-100</v>
      </c>
    </row>
    <row r="120" spans="1:14" ht="39" customHeight="1" x14ac:dyDescent="0.25">
      <c r="A120" t="str">
        <f t="shared" si="6"/>
        <v>02610008012500</v>
      </c>
      <c r="B120" s="3" t="s">
        <v>84</v>
      </c>
      <c r="C120" s="3" t="s">
        <v>325</v>
      </c>
      <c r="D120" s="3"/>
      <c r="E120" s="3" t="s">
        <v>328</v>
      </c>
      <c r="F120" s="3" t="s">
        <v>22</v>
      </c>
      <c r="G120" s="3" t="s">
        <v>329</v>
      </c>
      <c r="H120" s="11">
        <v>3700</v>
      </c>
      <c r="I120" s="11"/>
      <c r="J120" s="3"/>
      <c r="K120" s="3"/>
      <c r="L120" s="3"/>
      <c r="M120" s="3"/>
      <c r="N120" s="4">
        <f t="shared" si="4"/>
        <v>-100</v>
      </c>
    </row>
    <row r="121" spans="1:14" ht="39" customHeight="1" x14ac:dyDescent="0.25">
      <c r="A121" t="str">
        <f t="shared" si="6"/>
        <v>02610008012600</v>
      </c>
      <c r="B121" s="3" t="s">
        <v>84</v>
      </c>
      <c r="C121" s="3" t="s">
        <v>325</v>
      </c>
      <c r="D121" s="3" t="s">
        <v>330</v>
      </c>
      <c r="E121" s="3" t="s">
        <v>331</v>
      </c>
      <c r="F121" s="3" t="s">
        <v>22</v>
      </c>
      <c r="G121" s="3" t="s">
        <v>332</v>
      </c>
      <c r="H121" s="11">
        <v>33399.01</v>
      </c>
      <c r="I121" s="11"/>
      <c r="J121" s="3"/>
      <c r="K121" s="3"/>
      <c r="L121" s="3"/>
      <c r="M121" s="3"/>
      <c r="N121" s="4">
        <f t="shared" ref="N121:N184" si="7">IFERROR(((I121*100)/H121)-100,"")</f>
        <v>-100</v>
      </c>
    </row>
    <row r="122" spans="1:14" ht="39" customHeight="1" x14ac:dyDescent="0.25">
      <c r="A122" t="str">
        <f t="shared" si="6"/>
        <v>026100082562000</v>
      </c>
      <c r="B122" s="3" t="s">
        <v>84</v>
      </c>
      <c r="C122" s="3" t="s">
        <v>325</v>
      </c>
      <c r="D122" s="3"/>
      <c r="E122" s="3" t="s">
        <v>333</v>
      </c>
      <c r="F122" s="3" t="s">
        <v>48</v>
      </c>
      <c r="G122" s="3" t="s">
        <v>334</v>
      </c>
      <c r="H122" s="11">
        <v>500</v>
      </c>
      <c r="I122" s="11"/>
      <c r="J122" s="3"/>
      <c r="K122" s="3"/>
      <c r="L122" s="3"/>
      <c r="M122" s="3"/>
      <c r="N122" s="4">
        <f t="shared" si="7"/>
        <v>-100</v>
      </c>
    </row>
    <row r="123" spans="1:14" ht="39" customHeight="1" x14ac:dyDescent="0.25">
      <c r="A123" t="str">
        <f t="shared" si="6"/>
        <v>0261000831511700</v>
      </c>
      <c r="B123" s="3" t="s">
        <v>84</v>
      </c>
      <c r="C123" s="3" t="s">
        <v>325</v>
      </c>
      <c r="D123" s="3"/>
      <c r="E123" s="3" t="s">
        <v>335</v>
      </c>
      <c r="F123" s="3" t="s">
        <v>20</v>
      </c>
      <c r="G123" s="3" t="s">
        <v>336</v>
      </c>
      <c r="H123" s="11">
        <v>1500</v>
      </c>
      <c r="I123" s="11"/>
      <c r="J123" s="3"/>
      <c r="K123" s="3"/>
      <c r="L123" s="3"/>
      <c r="M123" s="3"/>
      <c r="N123" s="4">
        <f t="shared" si="7"/>
        <v>-100</v>
      </c>
    </row>
    <row r="124" spans="1:14" ht="39" customHeight="1" x14ac:dyDescent="0.25">
      <c r="A124" t="str">
        <f t="shared" si="6"/>
        <v>0261000831611700</v>
      </c>
      <c r="B124" s="3" t="s">
        <v>84</v>
      </c>
      <c r="C124" s="3" t="s">
        <v>325</v>
      </c>
      <c r="D124" s="3"/>
      <c r="E124" s="3" t="s">
        <v>337</v>
      </c>
      <c r="F124" s="3" t="s">
        <v>25</v>
      </c>
      <c r="G124" s="3" t="s">
        <v>338</v>
      </c>
      <c r="H124" s="11">
        <v>6000</v>
      </c>
      <c r="I124" s="11"/>
      <c r="J124" s="3"/>
      <c r="K124" s="3"/>
      <c r="L124" s="3"/>
      <c r="M124" s="3"/>
      <c r="N124" s="4">
        <f t="shared" si="7"/>
        <v>-100</v>
      </c>
    </row>
    <row r="125" spans="1:14" ht="39" customHeight="1" x14ac:dyDescent="0.25">
      <c r="A125" t="str">
        <f t="shared" si="6"/>
        <v>026100083546500</v>
      </c>
      <c r="B125" s="3" t="s">
        <v>84</v>
      </c>
      <c r="C125" s="3" t="s">
        <v>325</v>
      </c>
      <c r="D125" s="3"/>
      <c r="E125" s="3" t="s">
        <v>339</v>
      </c>
      <c r="F125" s="3" t="s">
        <v>22</v>
      </c>
      <c r="G125" s="3" t="s">
        <v>340</v>
      </c>
      <c r="H125" s="11">
        <v>2700</v>
      </c>
      <c r="I125" s="11"/>
      <c r="J125" s="3"/>
      <c r="K125" s="3"/>
      <c r="L125" s="3"/>
      <c r="M125" s="3"/>
      <c r="N125" s="4">
        <f t="shared" si="7"/>
        <v>-100</v>
      </c>
    </row>
    <row r="126" spans="1:14" ht="39" customHeight="1" x14ac:dyDescent="0.25">
      <c r="A126" t="str">
        <f t="shared" si="6"/>
        <v>026100083603600</v>
      </c>
      <c r="B126" s="3" t="s">
        <v>84</v>
      </c>
      <c r="C126" s="3" t="s">
        <v>325</v>
      </c>
      <c r="D126" s="3"/>
      <c r="E126" s="3" t="s">
        <v>341</v>
      </c>
      <c r="F126" s="3" t="s">
        <v>342</v>
      </c>
      <c r="G126" s="3" t="s">
        <v>343</v>
      </c>
      <c r="H126" s="11">
        <v>13000</v>
      </c>
      <c r="I126" s="11"/>
      <c r="J126" s="3"/>
      <c r="K126" s="3"/>
      <c r="L126" s="3"/>
      <c r="M126" s="3"/>
      <c r="N126" s="4">
        <f t="shared" si="7"/>
        <v>-100</v>
      </c>
    </row>
    <row r="127" spans="1:14" ht="39" customHeight="1" x14ac:dyDescent="0.25">
      <c r="A127" t="str">
        <f t="shared" si="6"/>
        <v>026100083947000</v>
      </c>
      <c r="B127" s="3" t="s">
        <v>84</v>
      </c>
      <c r="C127" s="3" t="s">
        <v>325</v>
      </c>
      <c r="D127" s="3"/>
      <c r="E127" s="3" t="s">
        <v>344</v>
      </c>
      <c r="F127" s="3" t="s">
        <v>25</v>
      </c>
      <c r="G127" s="3" t="s">
        <v>345</v>
      </c>
      <c r="H127" s="11">
        <v>2000</v>
      </c>
      <c r="I127" s="11"/>
      <c r="J127" s="3"/>
      <c r="K127" s="3"/>
      <c r="L127" s="3"/>
      <c r="M127" s="3"/>
      <c r="N127" s="4">
        <f t="shared" si="7"/>
        <v>-100</v>
      </c>
    </row>
    <row r="128" spans="1:14" ht="39" customHeight="1" x14ac:dyDescent="0.25">
      <c r="A128" t="str">
        <f t="shared" si="6"/>
        <v>026400028502400</v>
      </c>
      <c r="B128" s="3" t="s">
        <v>84</v>
      </c>
      <c r="C128" s="3" t="s">
        <v>325</v>
      </c>
      <c r="D128" s="3"/>
      <c r="E128" s="3" t="s">
        <v>346</v>
      </c>
      <c r="F128" s="3" t="s">
        <v>22</v>
      </c>
      <c r="G128" s="3" t="s">
        <v>347</v>
      </c>
      <c r="H128" s="11">
        <v>200</v>
      </c>
      <c r="I128" s="11"/>
      <c r="J128" s="3"/>
      <c r="K128" s="3"/>
      <c r="L128" s="3"/>
      <c r="M128" s="3"/>
      <c r="N128" s="4">
        <f t="shared" si="7"/>
        <v>-100</v>
      </c>
    </row>
    <row r="129" spans="1:14" ht="39" customHeight="1" x14ac:dyDescent="0.25">
      <c r="A129" t="str">
        <f t="shared" si="6"/>
        <v>026400028502800</v>
      </c>
      <c r="B129" s="3" t="s">
        <v>84</v>
      </c>
      <c r="C129" s="3" t="s">
        <v>325</v>
      </c>
      <c r="D129" s="3"/>
      <c r="E129" s="3" t="s">
        <v>348</v>
      </c>
      <c r="F129" s="3" t="s">
        <v>19</v>
      </c>
      <c r="G129" s="3" t="s">
        <v>349</v>
      </c>
      <c r="H129" s="11">
        <v>3000</v>
      </c>
      <c r="I129" s="11"/>
      <c r="J129" s="3"/>
      <c r="K129" s="3"/>
      <c r="L129" s="3"/>
      <c r="M129" s="3"/>
      <c r="N129" s="4">
        <f t="shared" si="7"/>
        <v>-100</v>
      </c>
    </row>
    <row r="130" spans="1:14" ht="39" customHeight="1" x14ac:dyDescent="0.25">
      <c r="A130" t="str">
        <f t="shared" si="6"/>
        <v>0264000492910000</v>
      </c>
      <c r="B130" s="3" t="s">
        <v>84</v>
      </c>
      <c r="C130" s="3" t="s">
        <v>350</v>
      </c>
      <c r="D130" s="3"/>
      <c r="E130" s="3" t="s">
        <v>351</v>
      </c>
      <c r="F130" s="3" t="s">
        <v>22</v>
      </c>
      <c r="G130" s="3" t="s">
        <v>352</v>
      </c>
      <c r="H130" s="11">
        <v>5000</v>
      </c>
      <c r="I130" s="11"/>
      <c r="J130" s="3"/>
      <c r="K130" s="3"/>
      <c r="L130" s="3"/>
      <c r="M130" s="3"/>
      <c r="N130" s="4">
        <f t="shared" si="7"/>
        <v>-100</v>
      </c>
    </row>
    <row r="131" spans="1:14" ht="39" customHeight="1" x14ac:dyDescent="0.25">
      <c r="A131" t="str">
        <f t="shared" si="6"/>
        <v>026400049613400</v>
      </c>
      <c r="B131" s="3" t="s">
        <v>84</v>
      </c>
      <c r="C131" s="3" t="s">
        <v>350</v>
      </c>
      <c r="D131" s="3"/>
      <c r="E131" s="3" t="s">
        <v>353</v>
      </c>
      <c r="F131" s="3" t="s">
        <v>38</v>
      </c>
      <c r="G131" s="3" t="s">
        <v>354</v>
      </c>
      <c r="H131" s="11">
        <v>7500</v>
      </c>
      <c r="I131" s="11"/>
      <c r="J131" s="3"/>
      <c r="K131" s="3"/>
      <c r="L131" s="3"/>
      <c r="M131" s="3"/>
      <c r="N131" s="4">
        <f t="shared" si="7"/>
        <v>-100</v>
      </c>
    </row>
    <row r="132" spans="1:14" ht="39" customHeight="1" x14ac:dyDescent="0.25">
      <c r="A132" t="str">
        <f t="shared" si="6"/>
        <v>0264000511222000</v>
      </c>
      <c r="B132" s="3" t="s">
        <v>84</v>
      </c>
      <c r="C132" s="3" t="s">
        <v>350</v>
      </c>
      <c r="D132" s="3"/>
      <c r="E132" s="3" t="s">
        <v>355</v>
      </c>
      <c r="F132" s="3" t="s">
        <v>22</v>
      </c>
      <c r="G132" s="3" t="s">
        <v>356</v>
      </c>
      <c r="H132" s="11">
        <v>4800</v>
      </c>
      <c r="I132" s="11"/>
      <c r="J132" s="3"/>
      <c r="K132" s="3"/>
      <c r="L132" s="3"/>
      <c r="M132" s="3"/>
      <c r="N132" s="4">
        <f t="shared" si="7"/>
        <v>-100</v>
      </c>
    </row>
    <row r="133" spans="1:14" ht="39" customHeight="1" x14ac:dyDescent="0.25">
      <c r="A133" t="str">
        <f t="shared" si="6"/>
        <v>026400054193000</v>
      </c>
      <c r="B133" s="3" t="s">
        <v>84</v>
      </c>
      <c r="C133" s="3" t="s">
        <v>350</v>
      </c>
      <c r="D133" s="3"/>
      <c r="E133" s="3" t="s">
        <v>357</v>
      </c>
      <c r="F133" s="3" t="s">
        <v>22</v>
      </c>
      <c r="G133" s="3" t="s">
        <v>358</v>
      </c>
      <c r="H133" s="11">
        <v>2400</v>
      </c>
      <c r="I133" s="11"/>
      <c r="J133" s="3"/>
      <c r="K133" s="3"/>
      <c r="L133" s="3"/>
      <c r="M133" s="3"/>
      <c r="N133" s="4">
        <f t="shared" si="7"/>
        <v>-100</v>
      </c>
    </row>
    <row r="134" spans="1:14" ht="39" customHeight="1" x14ac:dyDescent="0.25">
      <c r="A134" t="str">
        <f t="shared" si="6"/>
        <v>026400054435900</v>
      </c>
      <c r="B134" s="3" t="s">
        <v>84</v>
      </c>
      <c r="C134" s="3" t="s">
        <v>350</v>
      </c>
      <c r="D134" s="3"/>
      <c r="E134" s="3" t="s">
        <v>359</v>
      </c>
      <c r="F134" s="3" t="s">
        <v>40</v>
      </c>
      <c r="G134" s="3" t="s">
        <v>360</v>
      </c>
      <c r="H134" s="11">
        <v>781</v>
      </c>
      <c r="I134" s="11"/>
      <c r="J134" s="3"/>
      <c r="K134" s="3"/>
      <c r="L134" s="3"/>
      <c r="M134" s="3"/>
      <c r="N134" s="4">
        <f t="shared" si="7"/>
        <v>-100</v>
      </c>
    </row>
    <row r="135" spans="1:14" ht="39" customHeight="1" x14ac:dyDescent="0.25">
      <c r="A135" t="str">
        <f t="shared" si="6"/>
        <v>026400054503900</v>
      </c>
      <c r="B135" s="3" t="s">
        <v>84</v>
      </c>
      <c r="C135" s="3" t="s">
        <v>350</v>
      </c>
      <c r="D135" s="3"/>
      <c r="E135" s="3" t="s">
        <v>361</v>
      </c>
      <c r="F135" s="3" t="s">
        <v>22</v>
      </c>
      <c r="G135" s="3" t="s">
        <v>362</v>
      </c>
      <c r="H135" s="11">
        <v>3100</v>
      </c>
      <c r="I135" s="11"/>
      <c r="J135" s="3"/>
      <c r="K135" s="3"/>
      <c r="L135" s="3"/>
      <c r="M135" s="3"/>
      <c r="N135" s="4">
        <f t="shared" si="7"/>
        <v>-100</v>
      </c>
    </row>
    <row r="136" spans="1:14" ht="39" customHeight="1" x14ac:dyDescent="0.25">
      <c r="A136" t="str">
        <f t="shared" si="6"/>
        <v>0264000557628000</v>
      </c>
      <c r="B136" s="3" t="s">
        <v>84</v>
      </c>
      <c r="C136" s="3" t="s">
        <v>350</v>
      </c>
      <c r="D136" s="3"/>
      <c r="E136" s="3" t="s">
        <v>363</v>
      </c>
      <c r="F136" s="3" t="s">
        <v>22</v>
      </c>
      <c r="G136" s="3" t="s">
        <v>364</v>
      </c>
      <c r="H136" s="11">
        <v>2000</v>
      </c>
      <c r="I136" s="11" t="s">
        <v>26</v>
      </c>
      <c r="J136" s="3"/>
      <c r="K136" s="3"/>
      <c r="L136" s="3"/>
      <c r="M136" s="3"/>
      <c r="N136" s="4" t="str">
        <f t="shared" si="7"/>
        <v/>
      </c>
    </row>
    <row r="137" spans="1:14" ht="39" customHeight="1" x14ac:dyDescent="0.25">
      <c r="A137" t="str">
        <f t="shared" si="6"/>
        <v>0264000579311200</v>
      </c>
      <c r="B137" s="3" t="s">
        <v>84</v>
      </c>
      <c r="C137" s="3" t="s">
        <v>350</v>
      </c>
      <c r="D137" s="3"/>
      <c r="E137" s="3" t="s">
        <v>365</v>
      </c>
      <c r="F137" s="3" t="s">
        <v>22</v>
      </c>
      <c r="G137" s="3" t="s">
        <v>366</v>
      </c>
      <c r="H137" s="11">
        <v>2000</v>
      </c>
      <c r="I137" s="11"/>
      <c r="J137" s="3"/>
      <c r="K137" s="3"/>
      <c r="L137" s="3"/>
      <c r="M137" s="3"/>
      <c r="N137" s="4">
        <f t="shared" si="7"/>
        <v>-100</v>
      </c>
    </row>
    <row r="138" spans="1:14" ht="39" customHeight="1" x14ac:dyDescent="0.25">
      <c r="A138" t="str">
        <f t="shared" si="6"/>
        <v>026400058335000</v>
      </c>
      <c r="B138" s="3" t="s">
        <v>84</v>
      </c>
      <c r="C138" s="3" t="s">
        <v>367</v>
      </c>
      <c r="D138" s="3"/>
      <c r="E138" s="3" t="s">
        <v>368</v>
      </c>
      <c r="F138" s="3" t="s">
        <v>22</v>
      </c>
      <c r="G138" s="3" t="s">
        <v>369</v>
      </c>
      <c r="H138" s="11">
        <v>4000</v>
      </c>
      <c r="I138" s="11"/>
      <c r="J138" s="3"/>
      <c r="K138" s="3"/>
      <c r="L138" s="3"/>
      <c r="M138" s="3"/>
      <c r="N138" s="4">
        <f t="shared" si="7"/>
        <v>-100</v>
      </c>
    </row>
    <row r="139" spans="1:14" ht="39" customHeight="1" x14ac:dyDescent="0.25">
      <c r="A139" t="str">
        <f t="shared" si="6"/>
        <v>0265000334213000</v>
      </c>
      <c r="B139" s="3" t="s">
        <v>84</v>
      </c>
      <c r="C139" s="3" t="s">
        <v>367</v>
      </c>
      <c r="D139" s="3"/>
      <c r="E139" s="3" t="s">
        <v>370</v>
      </c>
      <c r="F139" s="3" t="s">
        <v>22</v>
      </c>
      <c r="G139" s="3" t="s">
        <v>371</v>
      </c>
      <c r="H139" s="11">
        <v>5800</v>
      </c>
      <c r="I139" s="11"/>
      <c r="J139" s="3"/>
      <c r="K139" s="3"/>
      <c r="L139" s="3"/>
      <c r="M139" s="3"/>
      <c r="N139" s="4">
        <f t="shared" si="7"/>
        <v>-100</v>
      </c>
    </row>
    <row r="140" spans="1:14" ht="39" customHeight="1" x14ac:dyDescent="0.25">
      <c r="A140" t="str">
        <f t="shared" si="6"/>
        <v>026500035793000</v>
      </c>
      <c r="B140" s="3" t="s">
        <v>84</v>
      </c>
      <c r="C140" s="3" t="s">
        <v>367</v>
      </c>
      <c r="D140" s="3"/>
      <c r="E140" s="3" t="s">
        <v>372</v>
      </c>
      <c r="F140" s="3" t="s">
        <v>33</v>
      </c>
      <c r="G140" s="3" t="s">
        <v>373</v>
      </c>
      <c r="H140" s="11">
        <v>2600</v>
      </c>
      <c r="I140" s="11"/>
      <c r="J140" s="3"/>
      <c r="K140" s="3"/>
      <c r="L140" s="3"/>
      <c r="M140" s="3"/>
      <c r="N140" s="4">
        <f t="shared" si="7"/>
        <v>-100</v>
      </c>
    </row>
    <row r="141" spans="1:14" ht="39" customHeight="1" x14ac:dyDescent="0.25">
      <c r="A141" t="str">
        <f t="shared" si="6"/>
        <v>026500062489000</v>
      </c>
      <c r="B141" s="3" t="s">
        <v>84</v>
      </c>
      <c r="C141" s="3" t="s">
        <v>367</v>
      </c>
      <c r="D141" s="3"/>
      <c r="E141" s="3" t="s">
        <v>374</v>
      </c>
      <c r="F141" s="3" t="s">
        <v>22</v>
      </c>
      <c r="G141" s="3" t="s">
        <v>375</v>
      </c>
      <c r="H141" s="11">
        <v>2500</v>
      </c>
      <c r="I141" s="11"/>
      <c r="J141" s="3"/>
      <c r="K141" s="3"/>
      <c r="L141" s="3"/>
      <c r="M141" s="3"/>
      <c r="N141" s="4">
        <f t="shared" si="7"/>
        <v>-100</v>
      </c>
    </row>
    <row r="142" spans="1:14" ht="39" customHeight="1" x14ac:dyDescent="0.25">
      <c r="A142" t="str">
        <f t="shared" si="6"/>
        <v>0265000650627800</v>
      </c>
      <c r="B142" s="3" t="s">
        <v>84</v>
      </c>
      <c r="C142" s="3" t="s">
        <v>367</v>
      </c>
      <c r="D142" s="3"/>
      <c r="E142" s="3" t="s">
        <v>376</v>
      </c>
      <c r="F142" s="3" t="s">
        <v>22</v>
      </c>
      <c r="G142" s="3" t="s">
        <v>377</v>
      </c>
      <c r="H142" s="11">
        <v>11700</v>
      </c>
      <c r="I142" s="11"/>
      <c r="J142" s="3"/>
      <c r="K142" s="3"/>
      <c r="L142" s="3"/>
      <c r="M142" s="3"/>
      <c r="N142" s="4">
        <f t="shared" si="7"/>
        <v>-100</v>
      </c>
    </row>
    <row r="143" spans="1:14" ht="39" customHeight="1" x14ac:dyDescent="0.25">
      <c r="A143" t="str">
        <f t="shared" si="6"/>
        <v>0265000655324000</v>
      </c>
      <c r="B143" s="3" t="s">
        <v>84</v>
      </c>
      <c r="C143" s="3" t="s">
        <v>367</v>
      </c>
      <c r="D143" s="3"/>
      <c r="E143" s="3" t="s">
        <v>378</v>
      </c>
      <c r="F143" s="3" t="s">
        <v>25</v>
      </c>
      <c r="G143" s="3" t="s">
        <v>379</v>
      </c>
      <c r="H143" s="11">
        <v>11000</v>
      </c>
      <c r="I143" s="11"/>
      <c r="J143" s="3"/>
      <c r="K143" s="3"/>
      <c r="L143" s="3"/>
      <c r="M143" s="3"/>
      <c r="N143" s="4">
        <f t="shared" si="7"/>
        <v>-100</v>
      </c>
    </row>
    <row r="144" spans="1:14" ht="39" customHeight="1" x14ac:dyDescent="0.25">
      <c r="A144" t="str">
        <f t="shared" si="6"/>
        <v>02650006923600</v>
      </c>
      <c r="B144" s="3" t="s">
        <v>84</v>
      </c>
      <c r="C144" s="3" t="s">
        <v>367</v>
      </c>
      <c r="D144" s="3"/>
      <c r="E144" s="3" t="s">
        <v>380</v>
      </c>
      <c r="F144" s="3" t="s">
        <v>54</v>
      </c>
      <c r="G144" s="3" t="s">
        <v>381</v>
      </c>
      <c r="H144" s="11">
        <v>2800</v>
      </c>
      <c r="I144" s="11"/>
      <c r="J144" s="3"/>
      <c r="K144" s="3"/>
      <c r="L144" s="3"/>
      <c r="M144" s="3"/>
      <c r="N144" s="4">
        <f t="shared" si="7"/>
        <v>-100</v>
      </c>
    </row>
    <row r="145" spans="1:14" ht="39" customHeight="1" x14ac:dyDescent="0.25">
      <c r="A145" t="str">
        <f t="shared" si="6"/>
        <v>026500072221500</v>
      </c>
      <c r="B145" s="3" t="s">
        <v>84</v>
      </c>
      <c r="C145" s="3" t="s">
        <v>367</v>
      </c>
      <c r="D145" s="3"/>
      <c r="E145" s="3" t="s">
        <v>382</v>
      </c>
      <c r="F145" s="3" t="s">
        <v>22</v>
      </c>
      <c r="G145" s="3" t="s">
        <v>383</v>
      </c>
      <c r="H145" s="11">
        <v>1300</v>
      </c>
      <c r="I145" s="11"/>
      <c r="J145" s="3"/>
      <c r="K145" s="3"/>
      <c r="L145" s="3"/>
      <c r="M145" s="3"/>
      <c r="N145" s="4">
        <f t="shared" si="7"/>
        <v>-100</v>
      </c>
    </row>
    <row r="146" spans="1:14" ht="39" customHeight="1" x14ac:dyDescent="0.25">
      <c r="A146" t="str">
        <f t="shared" si="6"/>
        <v>026500072223400</v>
      </c>
      <c r="B146" s="3" t="s">
        <v>84</v>
      </c>
      <c r="C146" s="3" t="s">
        <v>367</v>
      </c>
      <c r="D146" s="3"/>
      <c r="E146" s="3" t="s">
        <v>384</v>
      </c>
      <c r="F146" s="3" t="s">
        <v>22</v>
      </c>
      <c r="G146" s="3" t="s">
        <v>385</v>
      </c>
      <c r="H146" s="11">
        <v>4800</v>
      </c>
      <c r="I146" s="11"/>
      <c r="J146" s="3"/>
      <c r="K146" s="3"/>
      <c r="L146" s="3"/>
      <c r="M146" s="3"/>
      <c r="N146" s="4">
        <f t="shared" si="7"/>
        <v>-100</v>
      </c>
    </row>
    <row r="147" spans="1:14" ht="39" customHeight="1" x14ac:dyDescent="0.25">
      <c r="A147" t="str">
        <f t="shared" si="6"/>
        <v>026500072693000</v>
      </c>
      <c r="B147" s="3" t="s">
        <v>84</v>
      </c>
      <c r="C147" s="3" t="s">
        <v>367</v>
      </c>
      <c r="D147" s="3"/>
      <c r="E147" s="3" t="s">
        <v>386</v>
      </c>
      <c r="F147" s="3" t="s">
        <v>53</v>
      </c>
      <c r="G147" s="3" t="s">
        <v>387</v>
      </c>
      <c r="H147" s="11">
        <v>1500</v>
      </c>
      <c r="I147" s="11"/>
      <c r="J147" s="3"/>
      <c r="K147" s="3"/>
      <c r="L147" s="3"/>
      <c r="M147" s="3"/>
      <c r="N147" s="4">
        <f t="shared" si="7"/>
        <v>-100</v>
      </c>
    </row>
    <row r="148" spans="1:14" ht="39" customHeight="1" x14ac:dyDescent="0.25">
      <c r="A148" t="str">
        <f t="shared" si="6"/>
        <v>0265000727617000</v>
      </c>
      <c r="B148" s="3" t="s">
        <v>84</v>
      </c>
      <c r="C148" s="3" t="s">
        <v>367</v>
      </c>
      <c r="D148" s="3"/>
      <c r="E148" s="3" t="s">
        <v>388</v>
      </c>
      <c r="F148" s="3" t="s">
        <v>22</v>
      </c>
      <c r="G148" s="3" t="s">
        <v>389</v>
      </c>
      <c r="H148" s="11">
        <v>4000</v>
      </c>
      <c r="I148" s="11"/>
      <c r="J148" s="3"/>
      <c r="K148" s="3"/>
      <c r="L148" s="3"/>
      <c r="M148" s="3"/>
      <c r="N148" s="4">
        <f t="shared" si="7"/>
        <v>-100</v>
      </c>
    </row>
    <row r="149" spans="1:14" ht="39" customHeight="1" x14ac:dyDescent="0.25">
      <c r="A149" t="str">
        <f t="shared" si="6"/>
        <v>026500076054600</v>
      </c>
      <c r="B149" s="3" t="s">
        <v>84</v>
      </c>
      <c r="C149" s="3" t="s">
        <v>367</v>
      </c>
      <c r="D149" s="3"/>
      <c r="E149" s="3" t="s">
        <v>390</v>
      </c>
      <c r="F149" s="3" t="s">
        <v>22</v>
      </c>
      <c r="G149" s="3" t="s">
        <v>391</v>
      </c>
      <c r="H149" s="11">
        <v>10000</v>
      </c>
      <c r="I149" s="11"/>
      <c r="J149" s="3"/>
      <c r="K149" s="3"/>
      <c r="L149" s="3"/>
      <c r="M149" s="3"/>
      <c r="N149" s="4">
        <f t="shared" si="7"/>
        <v>-100</v>
      </c>
    </row>
    <row r="150" spans="1:14" ht="39" customHeight="1" x14ac:dyDescent="0.25">
      <c r="A150" t="str">
        <f t="shared" si="6"/>
        <v>0265000763580000</v>
      </c>
      <c r="B150" s="3" t="s">
        <v>84</v>
      </c>
      <c r="C150" s="3" t="s">
        <v>367</v>
      </c>
      <c r="D150" s="3"/>
      <c r="E150" s="3" t="s">
        <v>392</v>
      </c>
      <c r="F150" s="3" t="s">
        <v>22</v>
      </c>
      <c r="G150" s="3" t="s">
        <v>393</v>
      </c>
      <c r="H150" s="11">
        <v>1500</v>
      </c>
      <c r="I150" s="11"/>
      <c r="J150" s="3"/>
      <c r="K150" s="3"/>
      <c r="L150" s="3"/>
      <c r="M150" s="3"/>
      <c r="N150" s="4">
        <f t="shared" si="7"/>
        <v>-100</v>
      </c>
    </row>
    <row r="151" spans="1:14" ht="39" customHeight="1" x14ac:dyDescent="0.25">
      <c r="A151" t="str">
        <f t="shared" si="6"/>
        <v>028200074106000</v>
      </c>
      <c r="B151" s="3" t="s">
        <v>84</v>
      </c>
      <c r="C151" s="3" t="s">
        <v>367</v>
      </c>
      <c r="D151" s="3"/>
      <c r="E151" s="3" t="s">
        <v>394</v>
      </c>
      <c r="F151" s="3" t="s">
        <v>22</v>
      </c>
      <c r="G151" s="3" t="s">
        <v>395</v>
      </c>
      <c r="H151" s="11">
        <v>10000</v>
      </c>
      <c r="I151" s="11"/>
      <c r="J151" s="3"/>
      <c r="K151" s="3"/>
      <c r="L151" s="3"/>
      <c r="M151" s="3"/>
      <c r="N151" s="4">
        <f t="shared" si="7"/>
        <v>-100</v>
      </c>
    </row>
    <row r="152" spans="1:14" ht="39" customHeight="1" x14ac:dyDescent="0.25">
      <c r="A152" t="str">
        <f t="shared" si="6"/>
        <v>9369000096723700</v>
      </c>
      <c r="B152" s="3" t="s">
        <v>84</v>
      </c>
      <c r="C152" s="3" t="s">
        <v>367</v>
      </c>
      <c r="D152" s="3"/>
      <c r="E152" s="3" t="s">
        <v>396</v>
      </c>
      <c r="F152" s="3" t="s">
        <v>22</v>
      </c>
      <c r="G152" s="3" t="s">
        <v>397</v>
      </c>
      <c r="H152" s="11">
        <v>1600</v>
      </c>
      <c r="I152" s="11"/>
      <c r="J152" s="3"/>
      <c r="K152" s="3"/>
      <c r="L152" s="3"/>
      <c r="M152" s="3"/>
      <c r="N152" s="4">
        <f t="shared" si="7"/>
        <v>-100</v>
      </c>
    </row>
    <row r="153" spans="1:14" ht="39" customHeight="1" x14ac:dyDescent="0.25">
      <c r="A153" t="str">
        <f t="shared" si="6"/>
        <v>0336000316925000</v>
      </c>
      <c r="B153" s="3" t="s">
        <v>84</v>
      </c>
      <c r="C153" s="3" t="s">
        <v>367</v>
      </c>
      <c r="D153" s="3"/>
      <c r="E153" s="3" t="s">
        <v>398</v>
      </c>
      <c r="F153" s="3" t="s">
        <v>38</v>
      </c>
      <c r="G153" s="3" t="s">
        <v>399</v>
      </c>
      <c r="H153" s="11">
        <v>500</v>
      </c>
      <c r="I153" s="11"/>
      <c r="J153" s="3"/>
      <c r="K153" s="3"/>
      <c r="L153" s="3"/>
      <c r="M153" s="3"/>
      <c r="N153" s="4">
        <f t="shared" si="7"/>
        <v>-100</v>
      </c>
    </row>
    <row r="154" spans="1:14" ht="39" customHeight="1" x14ac:dyDescent="0.25">
      <c r="A154" t="str">
        <f t="shared" si="6"/>
        <v>0336000394334500</v>
      </c>
      <c r="B154" s="3" t="s">
        <v>84</v>
      </c>
      <c r="C154" s="3" t="s">
        <v>367</v>
      </c>
      <c r="D154" s="3"/>
      <c r="E154" s="3" t="s">
        <v>400</v>
      </c>
      <c r="F154" s="3" t="s">
        <v>22</v>
      </c>
      <c r="G154" s="3" t="s">
        <v>401</v>
      </c>
      <c r="H154" s="11">
        <v>11100</v>
      </c>
      <c r="I154" s="11"/>
      <c r="J154" s="3"/>
      <c r="K154" s="3"/>
      <c r="L154" s="3"/>
      <c r="M154" s="3"/>
      <c r="N154" s="4">
        <f t="shared" si="7"/>
        <v>-100</v>
      </c>
    </row>
    <row r="155" spans="1:14" ht="39" customHeight="1" x14ac:dyDescent="0.25">
      <c r="A155" t="str">
        <f t="shared" si="6"/>
        <v>0336000418325000</v>
      </c>
      <c r="B155" s="3" t="s">
        <v>84</v>
      </c>
      <c r="C155" s="3" t="s">
        <v>367</v>
      </c>
      <c r="D155" s="3"/>
      <c r="E155" s="3" t="s">
        <v>402</v>
      </c>
      <c r="F155" s="3" t="s">
        <v>22</v>
      </c>
      <c r="G155" s="3" t="s">
        <v>403</v>
      </c>
      <c r="H155" s="11">
        <v>63800</v>
      </c>
      <c r="I155" s="11"/>
      <c r="J155" s="3"/>
      <c r="K155" s="3"/>
      <c r="L155" s="3"/>
      <c r="M155" s="3"/>
      <c r="N155" s="4">
        <f t="shared" si="7"/>
        <v>-100</v>
      </c>
    </row>
    <row r="156" spans="1:14" ht="39" customHeight="1" x14ac:dyDescent="0.25">
      <c r="A156" t="str">
        <f t="shared" si="6"/>
        <v>03360004343300</v>
      </c>
      <c r="B156" s="3" t="s">
        <v>84</v>
      </c>
      <c r="C156" s="3" t="s">
        <v>367</v>
      </c>
      <c r="D156" s="3"/>
      <c r="E156" s="3" t="s">
        <v>404</v>
      </c>
      <c r="F156" s="3" t="s">
        <v>22</v>
      </c>
      <c r="G156" s="3" t="s">
        <v>405</v>
      </c>
      <c r="H156" s="11">
        <v>2600</v>
      </c>
      <c r="I156" s="11"/>
      <c r="J156" s="3"/>
      <c r="K156" s="3"/>
      <c r="L156" s="3"/>
      <c r="M156" s="3"/>
      <c r="N156" s="4">
        <f t="shared" si="7"/>
        <v>-100</v>
      </c>
    </row>
    <row r="157" spans="1:14" ht="39" customHeight="1" x14ac:dyDescent="0.25">
      <c r="A157" t="str">
        <f t="shared" si="6"/>
        <v>0353000394633500</v>
      </c>
      <c r="B157" s="3" t="s">
        <v>84</v>
      </c>
      <c r="C157" s="3" t="s">
        <v>406</v>
      </c>
      <c r="D157" s="3"/>
      <c r="E157" s="3" t="s">
        <v>407</v>
      </c>
      <c r="F157" s="3" t="s">
        <v>22</v>
      </c>
      <c r="G157" s="3" t="s">
        <v>408</v>
      </c>
      <c r="H157" s="11">
        <v>1000</v>
      </c>
      <c r="I157" s="11"/>
      <c r="J157" s="3"/>
      <c r="K157" s="3"/>
      <c r="L157" s="3"/>
      <c r="M157" s="3"/>
      <c r="N157" s="4">
        <f t="shared" si="7"/>
        <v>-100</v>
      </c>
    </row>
    <row r="158" spans="1:14" ht="39" customHeight="1" x14ac:dyDescent="0.25">
      <c r="A158" t="str">
        <f t="shared" si="6"/>
        <v>035300040383700</v>
      </c>
      <c r="B158" s="3" t="s">
        <v>84</v>
      </c>
      <c r="C158" s="3" t="s">
        <v>409</v>
      </c>
      <c r="D158" s="3" t="s">
        <v>410</v>
      </c>
      <c r="E158" s="3" t="s">
        <v>411</v>
      </c>
      <c r="F158" s="3" t="s">
        <v>25</v>
      </c>
      <c r="G158" s="3" t="s">
        <v>412</v>
      </c>
      <c r="H158" s="11">
        <v>5999.42</v>
      </c>
      <c r="I158" s="11"/>
      <c r="J158" s="3"/>
      <c r="K158" s="3"/>
      <c r="L158" s="3"/>
      <c r="M158" s="3"/>
      <c r="N158" s="4">
        <f t="shared" si="7"/>
        <v>-100</v>
      </c>
    </row>
    <row r="159" spans="1:14" ht="39" customHeight="1" x14ac:dyDescent="0.25">
      <c r="A159" t="str">
        <f t="shared" ref="A159:A222" si="8">E121&amp;H121</f>
        <v>0353000442033399,01</v>
      </c>
      <c r="B159" s="3" t="s">
        <v>84</v>
      </c>
      <c r="C159" s="3" t="s">
        <v>409</v>
      </c>
      <c r="D159" s="3"/>
      <c r="E159" s="3" t="s">
        <v>413</v>
      </c>
      <c r="F159" s="3" t="s">
        <v>16</v>
      </c>
      <c r="G159" s="3" t="s">
        <v>414</v>
      </c>
      <c r="H159" s="11">
        <v>25000</v>
      </c>
      <c r="I159" s="11"/>
      <c r="J159" s="3"/>
      <c r="K159" s="3"/>
      <c r="L159" s="3"/>
      <c r="M159" s="3"/>
      <c r="N159" s="4">
        <f t="shared" si="7"/>
        <v>-100</v>
      </c>
    </row>
    <row r="160" spans="1:14" ht="39" customHeight="1" x14ac:dyDescent="0.25">
      <c r="A160" t="str">
        <f t="shared" si="8"/>
        <v>03530004604500</v>
      </c>
      <c r="B160" s="3" t="s">
        <v>84</v>
      </c>
      <c r="C160" s="3" t="s">
        <v>409</v>
      </c>
      <c r="D160" s="3"/>
      <c r="E160" s="3" t="s">
        <v>415</v>
      </c>
      <c r="F160" s="3" t="s">
        <v>22</v>
      </c>
      <c r="G160" s="3" t="s">
        <v>416</v>
      </c>
      <c r="H160" s="11">
        <v>7000</v>
      </c>
      <c r="I160" s="11"/>
      <c r="J160" s="3"/>
      <c r="K160" s="3"/>
      <c r="L160" s="3"/>
      <c r="M160" s="3"/>
      <c r="N160" s="4">
        <f t="shared" si="7"/>
        <v>-100</v>
      </c>
    </row>
    <row r="161" spans="1:14" ht="39" customHeight="1" x14ac:dyDescent="0.25">
      <c r="A161" t="str">
        <f t="shared" si="8"/>
        <v>035300046391500</v>
      </c>
      <c r="B161" s="3" t="s">
        <v>84</v>
      </c>
      <c r="C161" s="3" t="s">
        <v>409</v>
      </c>
      <c r="D161" s="3"/>
      <c r="E161" s="3" t="s">
        <v>417</v>
      </c>
      <c r="F161" s="3" t="s">
        <v>22</v>
      </c>
      <c r="G161" s="3" t="s">
        <v>418</v>
      </c>
      <c r="H161" s="11">
        <v>32900</v>
      </c>
      <c r="I161" s="11"/>
      <c r="J161" s="3"/>
      <c r="K161" s="3"/>
      <c r="L161" s="3"/>
      <c r="M161" s="3"/>
      <c r="N161" s="4">
        <f t="shared" si="7"/>
        <v>-100</v>
      </c>
    </row>
    <row r="162" spans="1:14" ht="39" customHeight="1" x14ac:dyDescent="0.25">
      <c r="A162" t="str">
        <f t="shared" si="8"/>
        <v>035300046766000</v>
      </c>
      <c r="B162" s="3" t="s">
        <v>84</v>
      </c>
      <c r="C162" s="3" t="s">
        <v>409</v>
      </c>
      <c r="D162" s="3"/>
      <c r="E162" s="3" t="s">
        <v>419</v>
      </c>
      <c r="F162" s="3" t="s">
        <v>19</v>
      </c>
      <c r="G162" s="3" t="s">
        <v>420</v>
      </c>
      <c r="H162" s="11">
        <v>1200</v>
      </c>
      <c r="I162" s="11"/>
      <c r="J162" s="3"/>
      <c r="K162" s="3"/>
      <c r="L162" s="3"/>
      <c r="M162" s="3"/>
      <c r="N162" s="4">
        <f t="shared" si="7"/>
        <v>-100</v>
      </c>
    </row>
    <row r="163" spans="1:14" ht="39" customHeight="1" x14ac:dyDescent="0.25">
      <c r="A163" t="str">
        <f t="shared" si="8"/>
        <v>035300046872700</v>
      </c>
      <c r="B163" s="3" t="s">
        <v>84</v>
      </c>
      <c r="C163" s="3" t="s">
        <v>409</v>
      </c>
      <c r="D163" s="3"/>
      <c r="E163" s="3" t="s">
        <v>421</v>
      </c>
      <c r="F163" s="3" t="s">
        <v>59</v>
      </c>
      <c r="G163" s="3" t="s">
        <v>422</v>
      </c>
      <c r="H163" s="11">
        <v>800</v>
      </c>
      <c r="I163" s="11"/>
      <c r="J163" s="3"/>
      <c r="K163" s="3"/>
      <c r="L163" s="3"/>
      <c r="M163" s="3"/>
      <c r="N163" s="4">
        <f t="shared" si="7"/>
        <v>-100</v>
      </c>
    </row>
    <row r="164" spans="1:14" ht="39" customHeight="1" x14ac:dyDescent="0.25">
      <c r="A164" t="str">
        <f t="shared" si="8"/>
        <v>0353000469913000</v>
      </c>
      <c r="B164" s="3" t="s">
        <v>84</v>
      </c>
      <c r="C164" s="3" t="s">
        <v>409</v>
      </c>
      <c r="D164" s="3"/>
      <c r="E164" s="3" t="s">
        <v>423</v>
      </c>
      <c r="F164" s="3" t="s">
        <v>33</v>
      </c>
      <c r="G164" s="3" t="s">
        <v>424</v>
      </c>
      <c r="H164" s="11">
        <v>1500</v>
      </c>
      <c r="I164" s="11"/>
      <c r="J164" s="3"/>
      <c r="K164" s="3"/>
      <c r="L164" s="3"/>
      <c r="M164" s="3"/>
      <c r="N164" s="4">
        <f t="shared" si="7"/>
        <v>-100</v>
      </c>
    </row>
    <row r="165" spans="1:14" ht="39" customHeight="1" x14ac:dyDescent="0.25">
      <c r="A165" t="str">
        <f t="shared" si="8"/>
        <v>035300048342000</v>
      </c>
      <c r="B165" s="3" t="s">
        <v>84</v>
      </c>
      <c r="C165" s="3" t="s">
        <v>409</v>
      </c>
      <c r="D165" s="3"/>
      <c r="E165" s="3" t="s">
        <v>425</v>
      </c>
      <c r="F165" s="3" t="s">
        <v>22</v>
      </c>
      <c r="G165" s="3" t="s">
        <v>426</v>
      </c>
      <c r="H165" s="11">
        <v>2200</v>
      </c>
      <c r="I165" s="11"/>
      <c r="J165" s="3"/>
      <c r="K165" s="3"/>
      <c r="L165" s="3"/>
      <c r="M165" s="3"/>
      <c r="N165" s="4">
        <f t="shared" si="7"/>
        <v>-100</v>
      </c>
    </row>
    <row r="166" spans="1:14" ht="39" customHeight="1" x14ac:dyDescent="0.25">
      <c r="A166" t="str">
        <f t="shared" si="8"/>
        <v>03530004840200</v>
      </c>
      <c r="B166" s="3" t="s">
        <v>84</v>
      </c>
      <c r="C166" s="3" t="s">
        <v>409</v>
      </c>
      <c r="D166" s="3"/>
      <c r="E166" s="3" t="s">
        <v>427</v>
      </c>
      <c r="F166" s="3" t="s">
        <v>40</v>
      </c>
      <c r="G166" s="3" t="s">
        <v>428</v>
      </c>
      <c r="H166" s="11">
        <v>50000</v>
      </c>
      <c r="I166" s="11"/>
      <c r="J166" s="3"/>
      <c r="K166" s="3"/>
      <c r="L166" s="3"/>
      <c r="M166" s="3"/>
      <c r="N166" s="4">
        <f t="shared" si="7"/>
        <v>-100</v>
      </c>
    </row>
    <row r="167" spans="1:14" ht="39" customHeight="1" x14ac:dyDescent="0.25">
      <c r="A167" t="str">
        <f t="shared" si="8"/>
        <v>035300049103000</v>
      </c>
      <c r="B167" s="3" t="s">
        <v>84</v>
      </c>
      <c r="C167" s="3" t="s">
        <v>409</v>
      </c>
      <c r="D167" s="3"/>
      <c r="E167" s="3" t="s">
        <v>429</v>
      </c>
      <c r="F167" s="3" t="s">
        <v>40</v>
      </c>
      <c r="G167" s="3" t="s">
        <v>430</v>
      </c>
      <c r="H167" s="11">
        <v>48000</v>
      </c>
      <c r="I167" s="11"/>
      <c r="J167" s="3"/>
      <c r="K167" s="3"/>
      <c r="L167" s="3"/>
      <c r="M167" s="3"/>
      <c r="N167" s="4">
        <f t="shared" si="7"/>
        <v>-100</v>
      </c>
    </row>
    <row r="168" spans="1:14" ht="39" customHeight="1" x14ac:dyDescent="0.25">
      <c r="A168" t="str">
        <f t="shared" si="8"/>
        <v>036000042805000</v>
      </c>
      <c r="B168" s="3" t="s">
        <v>84</v>
      </c>
      <c r="C168" s="3" t="s">
        <v>409</v>
      </c>
      <c r="D168" s="3"/>
      <c r="E168" s="3" t="s">
        <v>431</v>
      </c>
      <c r="F168" s="3" t="s">
        <v>40</v>
      </c>
      <c r="G168" s="3" t="s">
        <v>432</v>
      </c>
      <c r="H168" s="11">
        <v>48000</v>
      </c>
      <c r="I168" s="11"/>
      <c r="J168" s="3"/>
      <c r="K168" s="3"/>
      <c r="L168" s="3"/>
      <c r="M168" s="3"/>
      <c r="N168" s="4">
        <f t="shared" si="7"/>
        <v>-100</v>
      </c>
    </row>
    <row r="169" spans="1:14" ht="39" customHeight="1" x14ac:dyDescent="0.25">
      <c r="A169" t="str">
        <f t="shared" si="8"/>
        <v>036000044447500</v>
      </c>
      <c r="B169" s="3" t="s">
        <v>84</v>
      </c>
      <c r="C169" s="3" t="s">
        <v>409</v>
      </c>
      <c r="D169" s="3"/>
      <c r="E169" s="3" t="s">
        <v>433</v>
      </c>
      <c r="F169" s="3" t="s">
        <v>40</v>
      </c>
      <c r="G169" s="3" t="s">
        <v>430</v>
      </c>
      <c r="H169" s="11">
        <v>48000</v>
      </c>
      <c r="I169" s="11"/>
      <c r="J169" s="3"/>
      <c r="K169" s="3"/>
      <c r="L169" s="3"/>
      <c r="M169" s="3"/>
      <c r="N169" s="4">
        <f t="shared" si="7"/>
        <v>-100</v>
      </c>
    </row>
    <row r="170" spans="1:14" ht="39" customHeight="1" x14ac:dyDescent="0.25">
      <c r="A170" t="str">
        <f t="shared" si="8"/>
        <v>036000044974800</v>
      </c>
      <c r="B170" s="3" t="s">
        <v>84</v>
      </c>
      <c r="C170" s="3" t="s">
        <v>409</v>
      </c>
      <c r="D170" s="3"/>
      <c r="E170" s="3" t="s">
        <v>434</v>
      </c>
      <c r="F170" s="3" t="s">
        <v>40</v>
      </c>
      <c r="G170" s="3" t="s">
        <v>435</v>
      </c>
      <c r="H170" s="11">
        <v>48000</v>
      </c>
      <c r="I170" s="11"/>
      <c r="J170" s="3"/>
      <c r="K170" s="3"/>
      <c r="L170" s="3"/>
      <c r="M170" s="3"/>
      <c r="N170" s="4">
        <f t="shared" si="7"/>
        <v>-100</v>
      </c>
    </row>
    <row r="171" spans="1:14" ht="39" customHeight="1" x14ac:dyDescent="0.25">
      <c r="A171" t="str">
        <f t="shared" si="8"/>
        <v>036000045042400</v>
      </c>
      <c r="B171" s="3" t="s">
        <v>84</v>
      </c>
      <c r="C171" s="3" t="s">
        <v>409</v>
      </c>
      <c r="D171" s="3"/>
      <c r="E171" s="3" t="s">
        <v>436</v>
      </c>
      <c r="F171" s="3" t="s">
        <v>40</v>
      </c>
      <c r="G171" s="3" t="s">
        <v>437</v>
      </c>
      <c r="H171" s="11">
        <v>48000</v>
      </c>
      <c r="I171" s="11"/>
      <c r="J171" s="3"/>
      <c r="K171" s="3"/>
      <c r="L171" s="3"/>
      <c r="M171" s="3"/>
      <c r="N171" s="4">
        <f t="shared" si="7"/>
        <v>-100</v>
      </c>
    </row>
    <row r="172" spans="1:14" ht="39" customHeight="1" x14ac:dyDescent="0.25">
      <c r="A172" t="str">
        <f t="shared" si="8"/>
        <v>03600004656781</v>
      </c>
      <c r="B172" s="3" t="s">
        <v>84</v>
      </c>
      <c r="C172" s="3" t="s">
        <v>409</v>
      </c>
      <c r="D172" s="3"/>
      <c r="E172" s="3" t="s">
        <v>438</v>
      </c>
      <c r="F172" s="3" t="s">
        <v>40</v>
      </c>
      <c r="G172" s="3" t="s">
        <v>439</v>
      </c>
      <c r="H172" s="11">
        <v>48000</v>
      </c>
      <c r="I172" s="11"/>
      <c r="J172" s="3"/>
      <c r="K172" s="3"/>
      <c r="L172" s="3"/>
      <c r="M172" s="3"/>
      <c r="N172" s="4">
        <f t="shared" si="7"/>
        <v>-100</v>
      </c>
    </row>
    <row r="173" spans="1:14" ht="39" customHeight="1" x14ac:dyDescent="0.25">
      <c r="A173" t="str">
        <f t="shared" si="8"/>
        <v>036000046963100</v>
      </c>
      <c r="B173" s="3" t="s">
        <v>84</v>
      </c>
      <c r="C173" s="3" t="s">
        <v>409</v>
      </c>
      <c r="D173" s="3"/>
      <c r="E173" s="3" t="s">
        <v>440</v>
      </c>
      <c r="F173" s="3" t="s">
        <v>22</v>
      </c>
      <c r="G173" s="3" t="s">
        <v>441</v>
      </c>
      <c r="H173" s="11">
        <v>3300</v>
      </c>
      <c r="I173" s="11"/>
      <c r="J173" s="3"/>
      <c r="K173" s="3"/>
      <c r="L173" s="3"/>
      <c r="M173" s="3"/>
      <c r="N173" s="4">
        <f t="shared" si="7"/>
        <v>-100</v>
      </c>
    </row>
    <row r="174" spans="1:14" ht="39" customHeight="1" x14ac:dyDescent="0.25">
      <c r="A174" t="str">
        <f t="shared" si="8"/>
        <v>036000047402000</v>
      </c>
      <c r="B174" s="3" t="s">
        <v>84</v>
      </c>
      <c r="C174" s="3" t="s">
        <v>409</v>
      </c>
      <c r="D174" s="3"/>
      <c r="E174" s="3" t="s">
        <v>442</v>
      </c>
      <c r="F174" s="3" t="s">
        <v>40</v>
      </c>
      <c r="G174" s="3" t="s">
        <v>443</v>
      </c>
      <c r="H174" s="11">
        <v>50000</v>
      </c>
      <c r="I174" s="11"/>
      <c r="J174" s="3"/>
      <c r="K174" s="3"/>
      <c r="L174" s="3"/>
      <c r="M174" s="3"/>
      <c r="N174" s="4">
        <f t="shared" si="7"/>
        <v>-100</v>
      </c>
    </row>
    <row r="175" spans="1:14" ht="39" customHeight="1" x14ac:dyDescent="0.25">
      <c r="A175" t="str">
        <f t="shared" si="8"/>
        <v>036000047532000</v>
      </c>
      <c r="B175" s="3" t="s">
        <v>84</v>
      </c>
      <c r="C175" s="3" t="s">
        <v>409</v>
      </c>
      <c r="D175" s="3"/>
      <c r="E175" s="3" t="s">
        <v>444</v>
      </c>
      <c r="F175" s="3" t="s">
        <v>40</v>
      </c>
      <c r="G175" s="3" t="s">
        <v>432</v>
      </c>
      <c r="H175" s="11">
        <v>50000</v>
      </c>
      <c r="I175" s="11"/>
      <c r="J175" s="3"/>
      <c r="K175" s="3"/>
      <c r="L175" s="3"/>
      <c r="M175" s="3"/>
      <c r="N175" s="4">
        <f t="shared" si="7"/>
        <v>-100</v>
      </c>
    </row>
    <row r="176" spans="1:14" ht="39" customHeight="1" x14ac:dyDescent="0.25">
      <c r="A176" t="str">
        <f t="shared" si="8"/>
        <v>036900064654000</v>
      </c>
      <c r="B176" s="3" t="s">
        <v>84</v>
      </c>
      <c r="C176" s="3" t="s">
        <v>409</v>
      </c>
      <c r="D176" s="3"/>
      <c r="E176" s="3" t="s">
        <v>445</v>
      </c>
      <c r="F176" s="3" t="s">
        <v>22</v>
      </c>
      <c r="G176" s="3" t="s">
        <v>446</v>
      </c>
      <c r="H176" s="11">
        <v>1800</v>
      </c>
      <c r="I176" s="11"/>
      <c r="J176" s="3"/>
      <c r="K176" s="3"/>
      <c r="L176" s="3"/>
      <c r="M176" s="3"/>
      <c r="N176" s="4">
        <f t="shared" si="7"/>
        <v>-100</v>
      </c>
    </row>
    <row r="177" spans="1:14" ht="39" customHeight="1" x14ac:dyDescent="0.25">
      <c r="A177" t="str">
        <f t="shared" si="8"/>
        <v>036900067085800</v>
      </c>
      <c r="B177" s="3" t="s">
        <v>84</v>
      </c>
      <c r="C177" s="3" t="s">
        <v>447</v>
      </c>
      <c r="D177" s="3" t="s">
        <v>448</v>
      </c>
      <c r="E177" s="3" t="s">
        <v>449</v>
      </c>
      <c r="F177" s="3" t="s">
        <v>22</v>
      </c>
      <c r="G177" s="3" t="s">
        <v>450</v>
      </c>
      <c r="H177" s="11">
        <v>20899.8</v>
      </c>
      <c r="I177" s="11"/>
      <c r="J177" s="3"/>
      <c r="K177" s="3"/>
      <c r="L177" s="3"/>
      <c r="M177" s="3"/>
      <c r="N177" s="4">
        <f t="shared" si="7"/>
        <v>-100</v>
      </c>
    </row>
    <row r="178" spans="1:14" ht="39" customHeight="1" x14ac:dyDescent="0.25">
      <c r="A178" t="str">
        <f t="shared" si="8"/>
        <v>036900069582600</v>
      </c>
      <c r="B178" s="3" t="s">
        <v>84</v>
      </c>
      <c r="C178" s="3" t="s">
        <v>447</v>
      </c>
      <c r="D178" s="3"/>
      <c r="E178" s="3" t="s">
        <v>451</v>
      </c>
      <c r="F178" s="3" t="s">
        <v>27</v>
      </c>
      <c r="G178" s="3" t="s">
        <v>452</v>
      </c>
      <c r="H178" s="11">
        <v>15000</v>
      </c>
      <c r="I178" s="11"/>
      <c r="J178" s="3"/>
      <c r="K178" s="3"/>
      <c r="L178" s="3"/>
      <c r="M178" s="3"/>
      <c r="N178" s="4">
        <f t="shared" si="7"/>
        <v>-100</v>
      </c>
    </row>
    <row r="179" spans="1:14" ht="39" customHeight="1" x14ac:dyDescent="0.25">
      <c r="A179" t="str">
        <f t="shared" si="8"/>
        <v>036900069832500</v>
      </c>
      <c r="B179" s="3" t="s">
        <v>84</v>
      </c>
      <c r="C179" s="3" t="s">
        <v>447</v>
      </c>
      <c r="D179" s="3"/>
      <c r="E179" s="3" t="s">
        <v>453</v>
      </c>
      <c r="F179" s="3" t="s">
        <v>64</v>
      </c>
      <c r="G179" s="3" t="s">
        <v>454</v>
      </c>
      <c r="H179" s="11">
        <v>1000</v>
      </c>
      <c r="I179" s="11"/>
      <c r="J179" s="3"/>
      <c r="K179" s="3"/>
      <c r="L179" s="3"/>
      <c r="M179" s="3"/>
      <c r="N179" s="4">
        <f t="shared" si="7"/>
        <v>-100</v>
      </c>
    </row>
    <row r="180" spans="1:14" ht="39" customHeight="1" x14ac:dyDescent="0.25">
      <c r="A180" t="str">
        <f t="shared" si="8"/>
        <v>0369000699111700</v>
      </c>
      <c r="B180" s="3" t="s">
        <v>84</v>
      </c>
      <c r="C180" s="3" t="s">
        <v>447</v>
      </c>
      <c r="D180" s="3"/>
      <c r="E180" s="3" t="s">
        <v>455</v>
      </c>
      <c r="F180" s="3" t="s">
        <v>14</v>
      </c>
      <c r="G180" s="3" t="s">
        <v>456</v>
      </c>
      <c r="H180" s="11">
        <v>4000</v>
      </c>
      <c r="I180" s="11"/>
      <c r="J180" s="3"/>
      <c r="K180" s="3"/>
      <c r="L180" s="3"/>
      <c r="M180" s="3"/>
      <c r="N180" s="4">
        <f t="shared" si="7"/>
        <v>-100</v>
      </c>
    </row>
    <row r="181" spans="1:14" ht="39" customHeight="1" x14ac:dyDescent="0.25">
      <c r="A181" t="str">
        <f t="shared" si="8"/>
        <v>0369000700111000</v>
      </c>
      <c r="B181" s="3" t="s">
        <v>84</v>
      </c>
      <c r="C181" s="3" t="s">
        <v>447</v>
      </c>
      <c r="D181" s="3"/>
      <c r="E181" s="3" t="s">
        <v>455</v>
      </c>
      <c r="F181" s="3" t="s">
        <v>83</v>
      </c>
      <c r="G181" s="3" t="s">
        <v>457</v>
      </c>
      <c r="H181" s="11">
        <v>16000</v>
      </c>
      <c r="I181" s="11"/>
      <c r="J181" s="3"/>
      <c r="K181" s="3"/>
      <c r="L181" s="3"/>
      <c r="M181" s="3"/>
      <c r="N181" s="4">
        <f t="shared" si="7"/>
        <v>-100</v>
      </c>
    </row>
    <row r="182" spans="1:14" ht="39" customHeight="1" x14ac:dyDescent="0.25">
      <c r="A182" t="str">
        <f t="shared" si="8"/>
        <v>036900070092800</v>
      </c>
      <c r="B182" s="3" t="s">
        <v>84</v>
      </c>
      <c r="C182" s="3" t="s">
        <v>447</v>
      </c>
      <c r="D182" s="3"/>
      <c r="E182" s="3" t="s">
        <v>458</v>
      </c>
      <c r="F182" s="3" t="s">
        <v>459</v>
      </c>
      <c r="G182" s="3" t="s">
        <v>460</v>
      </c>
      <c r="H182" s="11">
        <v>12000</v>
      </c>
      <c r="I182" s="11"/>
      <c r="J182" s="3"/>
      <c r="K182" s="3"/>
      <c r="L182" s="3"/>
      <c r="M182" s="3"/>
      <c r="N182" s="4">
        <f t="shared" si="7"/>
        <v>-100</v>
      </c>
    </row>
    <row r="183" spans="1:14" ht="39" customHeight="1" x14ac:dyDescent="0.25">
      <c r="A183" t="str">
        <f t="shared" si="8"/>
        <v>036900070191300</v>
      </c>
      <c r="B183" s="3" t="s">
        <v>84</v>
      </c>
      <c r="C183" s="3" t="s">
        <v>447</v>
      </c>
      <c r="D183" s="3"/>
      <c r="E183" s="3" t="s">
        <v>461</v>
      </c>
      <c r="F183" s="3" t="s">
        <v>44</v>
      </c>
      <c r="G183" s="3" t="s">
        <v>462</v>
      </c>
      <c r="H183" s="11">
        <v>2900</v>
      </c>
      <c r="I183" s="11"/>
      <c r="J183" s="3"/>
      <c r="K183" s="3"/>
      <c r="L183" s="3"/>
      <c r="M183" s="3"/>
      <c r="N183" s="4">
        <f t="shared" si="7"/>
        <v>-100</v>
      </c>
    </row>
    <row r="184" spans="1:14" ht="39" customHeight="1" x14ac:dyDescent="0.25">
      <c r="A184" t="str">
        <f t="shared" si="8"/>
        <v>036900070224800</v>
      </c>
      <c r="B184" s="3" t="s">
        <v>84</v>
      </c>
      <c r="C184" s="3" t="s">
        <v>447</v>
      </c>
      <c r="D184" s="3"/>
      <c r="E184" s="3" t="s">
        <v>463</v>
      </c>
      <c r="F184" s="3" t="s">
        <v>68</v>
      </c>
      <c r="G184" s="3" t="s">
        <v>464</v>
      </c>
      <c r="H184" s="11">
        <v>1500</v>
      </c>
      <c r="I184" s="11"/>
      <c r="J184" s="3"/>
      <c r="K184" s="3"/>
      <c r="L184" s="3"/>
      <c r="M184" s="3"/>
      <c r="N184" s="4">
        <f t="shared" si="7"/>
        <v>-100</v>
      </c>
    </row>
    <row r="185" spans="1:14" ht="39" customHeight="1" x14ac:dyDescent="0.25">
      <c r="A185" t="str">
        <f t="shared" si="8"/>
        <v>036900070241500</v>
      </c>
      <c r="B185" s="3" t="s">
        <v>84</v>
      </c>
      <c r="C185" s="3" t="s">
        <v>447</v>
      </c>
      <c r="D185" s="3"/>
      <c r="E185" s="3" t="s">
        <v>465</v>
      </c>
      <c r="F185" s="3" t="s">
        <v>22</v>
      </c>
      <c r="G185" s="3" t="s">
        <v>466</v>
      </c>
      <c r="H185" s="11">
        <v>4000</v>
      </c>
      <c r="I185" s="11" t="s">
        <v>26</v>
      </c>
      <c r="J185" s="3"/>
      <c r="K185" s="3"/>
      <c r="L185" s="3"/>
      <c r="M185" s="3"/>
      <c r="N185" s="4" t="str">
        <f t="shared" ref="N185:N248" si="9">IFERROR(((I185*100)/H185)-100,"")</f>
        <v/>
      </c>
    </row>
    <row r="186" spans="1:14" ht="39" customHeight="1" x14ac:dyDescent="0.25">
      <c r="A186" t="str">
        <f t="shared" si="8"/>
        <v>036900070354000</v>
      </c>
      <c r="B186" s="3" t="s">
        <v>84</v>
      </c>
      <c r="C186" s="3" t="s">
        <v>447</v>
      </c>
      <c r="D186" s="3"/>
      <c r="E186" s="3" t="s">
        <v>467</v>
      </c>
      <c r="F186" s="3" t="s">
        <v>81</v>
      </c>
      <c r="G186" s="3" t="s">
        <v>468</v>
      </c>
      <c r="H186" s="11">
        <v>5200</v>
      </c>
      <c r="I186" s="11"/>
      <c r="J186" s="3"/>
      <c r="K186" s="3"/>
      <c r="L186" s="3"/>
      <c r="M186" s="3"/>
      <c r="N186" s="4">
        <f t="shared" si="9"/>
        <v>-100</v>
      </c>
    </row>
    <row r="187" spans="1:14" ht="39" customHeight="1" x14ac:dyDescent="0.25">
      <c r="A187" t="str">
        <f t="shared" si="8"/>
        <v>0369000707110000</v>
      </c>
      <c r="B187" s="3" t="s">
        <v>84</v>
      </c>
      <c r="C187" s="3" t="s">
        <v>447</v>
      </c>
      <c r="D187" s="3"/>
      <c r="E187" s="3" t="s">
        <v>469</v>
      </c>
      <c r="F187" s="3" t="s">
        <v>66</v>
      </c>
      <c r="G187" s="3" t="s">
        <v>470</v>
      </c>
      <c r="H187" s="11">
        <v>2000</v>
      </c>
      <c r="I187" s="11"/>
      <c r="J187" s="3"/>
      <c r="K187" s="3"/>
      <c r="L187" s="3"/>
      <c r="M187" s="3"/>
      <c r="N187" s="4">
        <f t="shared" si="9"/>
        <v>-100</v>
      </c>
    </row>
    <row r="188" spans="1:14" ht="39" customHeight="1" x14ac:dyDescent="0.25">
      <c r="A188" t="str">
        <f t="shared" si="8"/>
        <v>036900070761500</v>
      </c>
      <c r="B188" s="3" t="s">
        <v>84</v>
      </c>
      <c r="C188" s="3" t="s">
        <v>447</v>
      </c>
      <c r="D188" s="3"/>
      <c r="E188" s="3" t="s">
        <v>471</v>
      </c>
      <c r="F188" s="3" t="s">
        <v>22</v>
      </c>
      <c r="G188" s="3" t="s">
        <v>472</v>
      </c>
      <c r="H188" s="11">
        <v>2500</v>
      </c>
      <c r="I188" s="11"/>
      <c r="J188" s="3"/>
      <c r="K188" s="3"/>
      <c r="L188" s="3"/>
      <c r="M188" s="3"/>
      <c r="N188" s="4">
        <f t="shared" si="9"/>
        <v>-100</v>
      </c>
    </row>
    <row r="189" spans="1:14" ht="39" customHeight="1" x14ac:dyDescent="0.25">
      <c r="A189" t="str">
        <f t="shared" si="8"/>
        <v>0369000708210000</v>
      </c>
      <c r="B189" s="3" t="s">
        <v>84</v>
      </c>
      <c r="C189" s="3" t="s">
        <v>447</v>
      </c>
      <c r="D189" s="3"/>
      <c r="E189" s="3" t="s">
        <v>471</v>
      </c>
      <c r="F189" s="3" t="s">
        <v>22</v>
      </c>
      <c r="G189" s="3" t="s">
        <v>473</v>
      </c>
      <c r="H189" s="11">
        <v>2100</v>
      </c>
      <c r="I189" s="11"/>
      <c r="J189" s="3"/>
      <c r="K189" s="3"/>
      <c r="L189" s="3"/>
      <c r="M189" s="3"/>
      <c r="N189" s="4">
        <f t="shared" si="9"/>
        <v>-100</v>
      </c>
    </row>
    <row r="190" spans="1:14" ht="39" customHeight="1" x14ac:dyDescent="0.25">
      <c r="A190" t="str">
        <f t="shared" si="8"/>
        <v>036900070851600</v>
      </c>
      <c r="B190" s="3" t="s">
        <v>84</v>
      </c>
      <c r="C190" s="3" t="s">
        <v>447</v>
      </c>
      <c r="D190" s="3"/>
      <c r="E190" s="3" t="s">
        <v>474</v>
      </c>
      <c r="F190" s="3" t="s">
        <v>20</v>
      </c>
      <c r="G190" s="3" t="s">
        <v>475</v>
      </c>
      <c r="H190" s="11">
        <v>3000</v>
      </c>
      <c r="I190" s="11"/>
      <c r="J190" s="3"/>
      <c r="K190" s="3"/>
      <c r="L190" s="3"/>
      <c r="M190" s="3"/>
      <c r="N190" s="4">
        <f t="shared" si="9"/>
        <v>-100</v>
      </c>
    </row>
    <row r="191" spans="1:14" ht="39" customHeight="1" x14ac:dyDescent="0.25">
      <c r="A191" t="str">
        <f t="shared" si="8"/>
        <v>03690007369500</v>
      </c>
      <c r="B191" s="3" t="s">
        <v>84</v>
      </c>
      <c r="C191" s="3" t="s">
        <v>447</v>
      </c>
      <c r="D191" s="3"/>
      <c r="E191" s="3" t="s">
        <v>476</v>
      </c>
      <c r="F191" s="3" t="s">
        <v>22</v>
      </c>
      <c r="G191" s="3" t="s">
        <v>477</v>
      </c>
      <c r="H191" s="11">
        <v>11800</v>
      </c>
      <c r="I191" s="11"/>
      <c r="J191" s="3"/>
      <c r="K191" s="3"/>
      <c r="L191" s="3"/>
      <c r="M191" s="3"/>
      <c r="N191" s="4">
        <f t="shared" si="9"/>
        <v>-100</v>
      </c>
    </row>
    <row r="192" spans="1:14" ht="39" customHeight="1" x14ac:dyDescent="0.25">
      <c r="A192" t="str">
        <f t="shared" si="8"/>
        <v>0369000739811100</v>
      </c>
      <c r="B192" s="3" t="s">
        <v>84</v>
      </c>
      <c r="C192" s="3" t="s">
        <v>447</v>
      </c>
      <c r="D192" s="3"/>
      <c r="E192" s="3" t="s">
        <v>478</v>
      </c>
      <c r="F192" s="3" t="s">
        <v>22</v>
      </c>
      <c r="G192" s="3" t="s">
        <v>479</v>
      </c>
      <c r="H192" s="11">
        <v>7100</v>
      </c>
      <c r="I192" s="11"/>
      <c r="J192" s="3"/>
      <c r="K192" s="3"/>
      <c r="L192" s="3"/>
      <c r="M192" s="3"/>
      <c r="N192" s="4">
        <f t="shared" si="9"/>
        <v>-100</v>
      </c>
    </row>
    <row r="193" spans="1:14" ht="39" customHeight="1" x14ac:dyDescent="0.25">
      <c r="A193" t="str">
        <f t="shared" si="8"/>
        <v>0369000741363800</v>
      </c>
      <c r="B193" s="3" t="s">
        <v>84</v>
      </c>
      <c r="C193" s="3" t="s">
        <v>447</v>
      </c>
      <c r="D193" s="3"/>
      <c r="E193" s="3" t="s">
        <v>480</v>
      </c>
      <c r="F193" s="3" t="s">
        <v>22</v>
      </c>
      <c r="G193" s="3" t="s">
        <v>481</v>
      </c>
      <c r="H193" s="11">
        <v>3500</v>
      </c>
      <c r="I193" s="11"/>
      <c r="J193" s="3"/>
      <c r="K193" s="3"/>
      <c r="L193" s="3"/>
      <c r="M193" s="3"/>
      <c r="N193" s="4">
        <f t="shared" si="9"/>
        <v>-100</v>
      </c>
    </row>
    <row r="194" spans="1:14" ht="39" customHeight="1" x14ac:dyDescent="0.25">
      <c r="A194" t="str">
        <f t="shared" si="8"/>
        <v>036900074412600</v>
      </c>
      <c r="B194" s="3" t="s">
        <v>84</v>
      </c>
      <c r="C194" s="3" t="s">
        <v>482</v>
      </c>
      <c r="D194" s="3"/>
      <c r="E194" s="3" t="s">
        <v>483</v>
      </c>
      <c r="F194" s="3" t="s">
        <v>22</v>
      </c>
      <c r="G194" s="3" t="s">
        <v>484</v>
      </c>
      <c r="H194" s="11">
        <v>3500</v>
      </c>
      <c r="I194" s="11"/>
      <c r="J194" s="3"/>
      <c r="K194" s="3"/>
      <c r="L194" s="3"/>
      <c r="M194" s="3"/>
      <c r="N194" s="4">
        <f t="shared" si="9"/>
        <v>-100</v>
      </c>
    </row>
    <row r="195" spans="1:14" ht="39" customHeight="1" x14ac:dyDescent="0.25">
      <c r="A195" t="str">
        <f t="shared" si="8"/>
        <v>936900008921000</v>
      </c>
      <c r="B195" s="3" t="s">
        <v>84</v>
      </c>
      <c r="C195" s="3" t="s">
        <v>482</v>
      </c>
      <c r="D195" s="3"/>
      <c r="E195" s="3" t="s">
        <v>485</v>
      </c>
      <c r="F195" s="3" t="s">
        <v>22</v>
      </c>
      <c r="G195" s="3" t="s">
        <v>486</v>
      </c>
      <c r="H195" s="11">
        <v>1900</v>
      </c>
      <c r="I195" s="11"/>
      <c r="J195" s="3"/>
      <c r="K195" s="3"/>
      <c r="L195" s="3"/>
      <c r="M195" s="3"/>
      <c r="N195" s="4">
        <f t="shared" si="9"/>
        <v>-100</v>
      </c>
    </row>
    <row r="196" spans="1:14" ht="39" customHeight="1" x14ac:dyDescent="0.25">
      <c r="A196" t="str">
        <f t="shared" si="8"/>
        <v>037300017765999,42</v>
      </c>
      <c r="B196" s="3" t="s">
        <v>84</v>
      </c>
      <c r="C196" s="3" t="s">
        <v>482</v>
      </c>
      <c r="D196" s="3"/>
      <c r="E196" s="3" t="s">
        <v>487</v>
      </c>
      <c r="F196" s="3" t="s">
        <v>32</v>
      </c>
      <c r="G196" s="3" t="s">
        <v>488</v>
      </c>
      <c r="H196" s="11">
        <v>14000</v>
      </c>
      <c r="I196" s="11"/>
      <c r="J196" s="3"/>
      <c r="K196" s="3"/>
      <c r="L196" s="3"/>
      <c r="M196" s="3"/>
      <c r="N196" s="4">
        <f t="shared" si="9"/>
        <v>-100</v>
      </c>
    </row>
    <row r="197" spans="1:14" ht="39" customHeight="1" x14ac:dyDescent="0.25">
      <c r="A197" t="str">
        <f t="shared" si="8"/>
        <v>0373000218625000</v>
      </c>
      <c r="B197" s="3" t="s">
        <v>84</v>
      </c>
      <c r="C197" s="3" t="s">
        <v>482</v>
      </c>
      <c r="D197" s="3"/>
      <c r="E197" s="3" t="s">
        <v>489</v>
      </c>
      <c r="F197" s="3" t="s">
        <v>53</v>
      </c>
      <c r="G197" s="3" t="s">
        <v>490</v>
      </c>
      <c r="H197" s="11">
        <v>2000</v>
      </c>
      <c r="I197" s="11"/>
      <c r="J197" s="3"/>
      <c r="K197" s="3"/>
      <c r="L197" s="3"/>
      <c r="M197" s="3"/>
      <c r="N197" s="4">
        <f t="shared" si="9"/>
        <v>-100</v>
      </c>
    </row>
    <row r="198" spans="1:14" ht="39" customHeight="1" x14ac:dyDescent="0.25">
      <c r="A198" t="str">
        <f t="shared" si="8"/>
        <v>037300050717000</v>
      </c>
      <c r="B198" s="3" t="s">
        <v>84</v>
      </c>
      <c r="C198" s="3" t="s">
        <v>482</v>
      </c>
      <c r="D198" s="3"/>
      <c r="E198" s="3" t="s">
        <v>491</v>
      </c>
      <c r="F198" s="3" t="s">
        <v>56</v>
      </c>
      <c r="G198" s="3" t="s">
        <v>492</v>
      </c>
      <c r="H198" s="11">
        <v>2300</v>
      </c>
      <c r="I198" s="11"/>
      <c r="J198" s="3"/>
      <c r="K198" s="3"/>
      <c r="L198" s="3"/>
      <c r="M198" s="3"/>
      <c r="N198" s="4">
        <f t="shared" si="9"/>
        <v>-100</v>
      </c>
    </row>
    <row r="199" spans="1:14" ht="39" customHeight="1" x14ac:dyDescent="0.25">
      <c r="A199" t="str">
        <f t="shared" si="8"/>
        <v>0373000528332900</v>
      </c>
      <c r="B199" s="3" t="s">
        <v>84</v>
      </c>
      <c r="C199" s="3" t="s">
        <v>482</v>
      </c>
      <c r="D199" s="3"/>
      <c r="E199" s="3" t="s">
        <v>493</v>
      </c>
      <c r="F199" s="3" t="s">
        <v>45</v>
      </c>
      <c r="G199" s="3" t="s">
        <v>494</v>
      </c>
      <c r="H199" s="11">
        <v>300</v>
      </c>
      <c r="I199" s="11"/>
      <c r="J199" s="3"/>
      <c r="K199" s="3"/>
      <c r="L199" s="3"/>
      <c r="M199" s="3"/>
      <c r="N199" s="4">
        <f t="shared" si="9"/>
        <v>-100</v>
      </c>
    </row>
    <row r="200" spans="1:14" ht="39" customHeight="1" x14ac:dyDescent="0.25">
      <c r="A200" t="str">
        <f t="shared" si="8"/>
        <v>037300056451200</v>
      </c>
      <c r="B200" s="3" t="s">
        <v>84</v>
      </c>
      <c r="C200" s="3" t="s">
        <v>482</v>
      </c>
      <c r="D200" s="3"/>
      <c r="E200" s="3" t="s">
        <v>495</v>
      </c>
      <c r="F200" s="3" t="s">
        <v>56</v>
      </c>
      <c r="G200" s="3" t="s">
        <v>496</v>
      </c>
      <c r="H200" s="11">
        <v>2000</v>
      </c>
      <c r="I200" s="11"/>
      <c r="J200" s="3"/>
      <c r="K200" s="3"/>
      <c r="L200" s="3"/>
      <c r="M200" s="3"/>
      <c r="N200" s="4">
        <f t="shared" si="9"/>
        <v>-100</v>
      </c>
    </row>
    <row r="201" spans="1:14" ht="39" customHeight="1" x14ac:dyDescent="0.25">
      <c r="A201" t="str">
        <f t="shared" si="8"/>
        <v>03730005646800</v>
      </c>
      <c r="B201" s="3" t="s">
        <v>84</v>
      </c>
      <c r="C201" s="3" t="s">
        <v>482</v>
      </c>
      <c r="D201" s="3"/>
      <c r="E201" s="3" t="s">
        <v>497</v>
      </c>
      <c r="F201" s="3" t="s">
        <v>53</v>
      </c>
      <c r="G201" s="3" t="s">
        <v>498</v>
      </c>
      <c r="H201" s="11">
        <v>1700</v>
      </c>
      <c r="I201" s="11"/>
      <c r="J201" s="3"/>
      <c r="K201" s="3"/>
      <c r="L201" s="3"/>
      <c r="M201" s="3"/>
      <c r="N201" s="4">
        <f t="shared" si="9"/>
        <v>-100</v>
      </c>
    </row>
    <row r="202" spans="1:14" ht="39" customHeight="1" x14ac:dyDescent="0.25">
      <c r="A202" t="str">
        <f t="shared" si="8"/>
        <v>037300056471500</v>
      </c>
      <c r="B202" s="3" t="s">
        <v>84</v>
      </c>
      <c r="C202" s="3" t="s">
        <v>482</v>
      </c>
      <c r="D202" s="3"/>
      <c r="E202" s="3" t="s">
        <v>499</v>
      </c>
      <c r="F202" s="3" t="s">
        <v>53</v>
      </c>
      <c r="G202" s="3" t="s">
        <v>500</v>
      </c>
      <c r="H202" s="11">
        <v>1700</v>
      </c>
      <c r="I202" s="11"/>
      <c r="J202" s="3"/>
      <c r="K202" s="3"/>
      <c r="L202" s="3"/>
      <c r="M202" s="3"/>
      <c r="N202" s="4">
        <f t="shared" si="9"/>
        <v>-100</v>
      </c>
    </row>
    <row r="203" spans="1:14" ht="39" customHeight="1" x14ac:dyDescent="0.25">
      <c r="A203" t="str">
        <f t="shared" si="8"/>
        <v>037300056552200</v>
      </c>
      <c r="B203" s="3" t="s">
        <v>84</v>
      </c>
      <c r="C203" s="3" t="s">
        <v>482</v>
      </c>
      <c r="D203" s="3"/>
      <c r="E203" s="3" t="s">
        <v>501</v>
      </c>
      <c r="F203" s="3" t="s">
        <v>53</v>
      </c>
      <c r="G203" s="3" t="s">
        <v>502</v>
      </c>
      <c r="H203" s="11">
        <v>1700</v>
      </c>
      <c r="I203" s="11"/>
      <c r="J203" s="3"/>
      <c r="K203" s="3"/>
      <c r="L203" s="3"/>
      <c r="M203" s="3"/>
      <c r="N203" s="4">
        <f t="shared" si="9"/>
        <v>-100</v>
      </c>
    </row>
    <row r="204" spans="1:14" ht="39" customHeight="1" x14ac:dyDescent="0.25">
      <c r="A204" t="str">
        <f t="shared" si="8"/>
        <v>0373000569650000</v>
      </c>
      <c r="B204" s="3" t="s">
        <v>84</v>
      </c>
      <c r="C204" s="3" t="s">
        <v>482</v>
      </c>
      <c r="D204" s="3"/>
      <c r="E204" s="3" t="s">
        <v>503</v>
      </c>
      <c r="F204" s="3" t="s">
        <v>33</v>
      </c>
      <c r="G204" s="3" t="s">
        <v>504</v>
      </c>
      <c r="H204" s="11">
        <v>3500</v>
      </c>
      <c r="I204" s="11"/>
      <c r="J204" s="3"/>
      <c r="K204" s="3"/>
      <c r="L204" s="3"/>
      <c r="M204" s="3"/>
      <c r="N204" s="4">
        <f t="shared" si="9"/>
        <v>-100</v>
      </c>
    </row>
    <row r="205" spans="1:14" ht="39" customHeight="1" x14ac:dyDescent="0.25">
      <c r="A205" t="str">
        <f t="shared" si="8"/>
        <v>0373000569748000</v>
      </c>
      <c r="B205" s="3" t="s">
        <v>84</v>
      </c>
      <c r="C205" s="3" t="s">
        <v>482</v>
      </c>
      <c r="D205" s="3"/>
      <c r="E205" s="3" t="s">
        <v>503</v>
      </c>
      <c r="F205" s="3" t="s">
        <v>33</v>
      </c>
      <c r="G205" s="3" t="s">
        <v>505</v>
      </c>
      <c r="H205" s="11">
        <v>2500</v>
      </c>
      <c r="I205" s="11"/>
      <c r="J205" s="3"/>
      <c r="K205" s="3"/>
      <c r="L205" s="3"/>
      <c r="M205" s="3"/>
      <c r="N205" s="4">
        <f t="shared" si="9"/>
        <v>-100</v>
      </c>
    </row>
    <row r="206" spans="1:14" ht="39" customHeight="1" x14ac:dyDescent="0.25">
      <c r="A206" t="str">
        <f t="shared" si="8"/>
        <v>0373000569848000</v>
      </c>
      <c r="B206" s="3" t="s">
        <v>84</v>
      </c>
      <c r="C206" s="3" t="s">
        <v>506</v>
      </c>
      <c r="D206" s="3"/>
      <c r="E206" s="3" t="s">
        <v>507</v>
      </c>
      <c r="F206" s="3" t="s">
        <v>48</v>
      </c>
      <c r="G206" s="3" t="s">
        <v>508</v>
      </c>
      <c r="H206" s="11">
        <v>10000</v>
      </c>
      <c r="I206" s="11"/>
      <c r="J206" s="3"/>
      <c r="K206" s="3"/>
      <c r="L206" s="3"/>
      <c r="M206" s="3"/>
      <c r="N206" s="4">
        <f t="shared" si="9"/>
        <v>-100</v>
      </c>
    </row>
    <row r="207" spans="1:14" ht="39" customHeight="1" x14ac:dyDescent="0.25">
      <c r="A207" t="str">
        <f t="shared" si="8"/>
        <v>0373000569948000</v>
      </c>
      <c r="B207" s="3" t="s">
        <v>84</v>
      </c>
      <c r="C207" s="3" t="s">
        <v>506</v>
      </c>
      <c r="D207" s="3"/>
      <c r="E207" s="3" t="s">
        <v>509</v>
      </c>
      <c r="F207" s="3" t="s">
        <v>23</v>
      </c>
      <c r="G207" s="3" t="s">
        <v>510</v>
      </c>
      <c r="H207" s="11">
        <v>13000</v>
      </c>
      <c r="I207" s="11"/>
      <c r="J207" s="3"/>
      <c r="K207" s="3"/>
      <c r="L207" s="3"/>
      <c r="M207" s="3"/>
      <c r="N207" s="4">
        <f t="shared" si="9"/>
        <v>-100</v>
      </c>
    </row>
    <row r="208" spans="1:14" ht="39" customHeight="1" x14ac:dyDescent="0.25">
      <c r="A208" t="str">
        <f t="shared" si="8"/>
        <v>0373000572548000</v>
      </c>
      <c r="B208" s="3" t="s">
        <v>84</v>
      </c>
      <c r="C208" s="3" t="s">
        <v>506</v>
      </c>
      <c r="D208" s="3"/>
      <c r="E208" s="3" t="s">
        <v>511</v>
      </c>
      <c r="F208" s="3" t="s">
        <v>44</v>
      </c>
      <c r="G208" s="3" t="s">
        <v>512</v>
      </c>
      <c r="H208" s="11">
        <v>5000</v>
      </c>
      <c r="I208" s="11"/>
      <c r="J208" s="3"/>
      <c r="K208" s="3"/>
      <c r="L208" s="3"/>
      <c r="M208" s="3"/>
      <c r="N208" s="4">
        <f t="shared" si="9"/>
        <v>-100</v>
      </c>
    </row>
    <row r="209" spans="1:14" ht="39" customHeight="1" x14ac:dyDescent="0.25">
      <c r="A209" t="str">
        <f t="shared" si="8"/>
        <v>0373000572648000</v>
      </c>
      <c r="B209" s="3" t="s">
        <v>84</v>
      </c>
      <c r="C209" s="3" t="s">
        <v>506</v>
      </c>
      <c r="D209" s="3"/>
      <c r="E209" s="3" t="s">
        <v>513</v>
      </c>
      <c r="F209" s="3" t="s">
        <v>20</v>
      </c>
      <c r="G209" s="3" t="s">
        <v>514</v>
      </c>
      <c r="H209" s="11">
        <v>7000</v>
      </c>
      <c r="I209" s="11"/>
      <c r="J209" s="3"/>
      <c r="K209" s="3"/>
      <c r="L209" s="3"/>
      <c r="M209" s="3"/>
      <c r="N209" s="4">
        <f t="shared" si="9"/>
        <v>-100</v>
      </c>
    </row>
    <row r="210" spans="1:14" ht="39" customHeight="1" x14ac:dyDescent="0.25">
      <c r="A210" t="str">
        <f t="shared" si="8"/>
        <v>0373000572748000</v>
      </c>
      <c r="B210" s="3" t="s">
        <v>84</v>
      </c>
      <c r="C210" s="3" t="s">
        <v>506</v>
      </c>
      <c r="D210" s="3"/>
      <c r="E210" s="3" t="s">
        <v>515</v>
      </c>
      <c r="F210" s="3" t="s">
        <v>23</v>
      </c>
      <c r="G210" s="3" t="s">
        <v>516</v>
      </c>
      <c r="H210" s="11">
        <v>2000</v>
      </c>
      <c r="I210" s="11"/>
      <c r="J210" s="3"/>
      <c r="K210" s="3"/>
      <c r="L210" s="3"/>
      <c r="M210" s="3"/>
      <c r="N210" s="4">
        <f t="shared" si="9"/>
        <v>-100</v>
      </c>
    </row>
    <row r="211" spans="1:14" ht="39" customHeight="1" x14ac:dyDescent="0.25">
      <c r="A211" t="str">
        <f t="shared" si="8"/>
        <v>037300057283300</v>
      </c>
      <c r="B211" s="3" t="s">
        <v>84</v>
      </c>
      <c r="C211" s="3" t="s">
        <v>506</v>
      </c>
      <c r="D211" s="3"/>
      <c r="E211" s="3" t="s">
        <v>517</v>
      </c>
      <c r="F211" s="3" t="s">
        <v>22</v>
      </c>
      <c r="G211" s="3" t="s">
        <v>518</v>
      </c>
      <c r="H211" s="11">
        <v>4200</v>
      </c>
      <c r="I211" s="11"/>
      <c r="J211" s="3"/>
      <c r="K211" s="3"/>
      <c r="L211" s="3"/>
      <c r="M211" s="3"/>
      <c r="N211" s="4">
        <f t="shared" si="9"/>
        <v>-100</v>
      </c>
    </row>
    <row r="212" spans="1:14" ht="39" customHeight="1" x14ac:dyDescent="0.25">
      <c r="A212" t="str">
        <f t="shared" si="8"/>
        <v>0373000575350000</v>
      </c>
      <c r="B212" s="3" t="s">
        <v>84</v>
      </c>
      <c r="C212" s="3" t="s">
        <v>506</v>
      </c>
      <c r="D212" s="3"/>
      <c r="E212" s="3" t="s">
        <v>519</v>
      </c>
      <c r="F212" s="3" t="s">
        <v>22</v>
      </c>
      <c r="G212" s="3" t="s">
        <v>520</v>
      </c>
      <c r="H212" s="11">
        <v>200</v>
      </c>
      <c r="I212" s="11"/>
      <c r="J212" s="3"/>
      <c r="K212" s="3"/>
      <c r="L212" s="3"/>
      <c r="M212" s="3"/>
      <c r="N212" s="4">
        <f t="shared" si="9"/>
        <v>-100</v>
      </c>
    </row>
    <row r="213" spans="1:14" ht="39" customHeight="1" x14ac:dyDescent="0.25">
      <c r="A213" t="str">
        <f t="shared" si="8"/>
        <v>0373000575450000</v>
      </c>
      <c r="B213" s="3" t="s">
        <v>84</v>
      </c>
      <c r="C213" s="3" t="s">
        <v>506</v>
      </c>
      <c r="D213" s="3" t="s">
        <v>521</v>
      </c>
      <c r="E213" s="3" t="s">
        <v>522</v>
      </c>
      <c r="F213" s="3" t="s">
        <v>49</v>
      </c>
      <c r="G213" s="3" t="s">
        <v>523</v>
      </c>
      <c r="H213" s="11">
        <v>699.84</v>
      </c>
      <c r="I213" s="11"/>
      <c r="J213" s="3"/>
      <c r="K213" s="3"/>
      <c r="L213" s="3"/>
      <c r="M213" s="3"/>
      <c r="N213" s="4">
        <f t="shared" si="9"/>
        <v>-100</v>
      </c>
    </row>
    <row r="214" spans="1:14" ht="39" customHeight="1" x14ac:dyDescent="0.25">
      <c r="A214" t="str">
        <f t="shared" si="8"/>
        <v>037300060851800</v>
      </c>
      <c r="B214" s="3" t="s">
        <v>84</v>
      </c>
      <c r="C214" s="3" t="s">
        <v>506</v>
      </c>
      <c r="D214" s="3"/>
      <c r="E214" s="3" t="s">
        <v>524</v>
      </c>
      <c r="F214" s="3" t="s">
        <v>22</v>
      </c>
      <c r="G214" s="3" t="s">
        <v>525</v>
      </c>
      <c r="H214" s="11">
        <v>4000</v>
      </c>
      <c r="I214" s="11"/>
      <c r="J214" s="3"/>
      <c r="K214" s="3"/>
      <c r="L214" s="3"/>
      <c r="M214" s="3"/>
      <c r="N214" s="4">
        <f t="shared" si="9"/>
        <v>-100</v>
      </c>
    </row>
    <row r="215" spans="1:14" ht="39" customHeight="1" x14ac:dyDescent="0.25">
      <c r="A215" t="str">
        <f t="shared" si="8"/>
        <v>0385000477320899,8</v>
      </c>
      <c r="B215" s="3" t="s">
        <v>84</v>
      </c>
      <c r="C215" s="3" t="s">
        <v>526</v>
      </c>
      <c r="D215" s="3"/>
      <c r="E215" s="3" t="s">
        <v>527</v>
      </c>
      <c r="F215" s="3" t="s">
        <v>60</v>
      </c>
      <c r="G215" s="3" t="s">
        <v>528</v>
      </c>
      <c r="H215" s="11">
        <v>1500</v>
      </c>
      <c r="I215" s="11"/>
      <c r="J215" s="3"/>
      <c r="K215" s="3"/>
      <c r="L215" s="3"/>
      <c r="M215" s="3"/>
      <c r="N215" s="4">
        <f t="shared" si="9"/>
        <v>-100</v>
      </c>
    </row>
    <row r="216" spans="1:14" ht="39" customHeight="1" x14ac:dyDescent="0.25">
      <c r="A216" t="str">
        <f t="shared" si="8"/>
        <v>0385000480715000</v>
      </c>
      <c r="B216" s="3" t="s">
        <v>84</v>
      </c>
      <c r="C216" s="3" t="s">
        <v>526</v>
      </c>
      <c r="D216" s="3"/>
      <c r="E216" s="3" t="s">
        <v>529</v>
      </c>
      <c r="F216" s="3" t="s">
        <v>80</v>
      </c>
      <c r="G216" s="3" t="s">
        <v>530</v>
      </c>
      <c r="H216" s="11">
        <v>1500</v>
      </c>
      <c r="I216" s="11"/>
      <c r="J216" s="3"/>
      <c r="K216" s="3"/>
      <c r="L216" s="3"/>
      <c r="M216" s="3"/>
      <c r="N216" s="4">
        <f t="shared" si="9"/>
        <v>-100</v>
      </c>
    </row>
    <row r="217" spans="1:14" ht="39" customHeight="1" x14ac:dyDescent="0.25">
      <c r="A217" t="str">
        <f t="shared" si="8"/>
        <v>038500054461000</v>
      </c>
      <c r="B217" s="3" t="s">
        <v>84</v>
      </c>
      <c r="C217" s="3" t="s">
        <v>526</v>
      </c>
      <c r="D217" s="3"/>
      <c r="E217" s="3" t="s">
        <v>531</v>
      </c>
      <c r="F217" s="3" t="s">
        <v>14</v>
      </c>
      <c r="G217" s="3" t="s">
        <v>532</v>
      </c>
      <c r="H217" s="11">
        <v>500</v>
      </c>
      <c r="I217" s="11"/>
      <c r="J217" s="3"/>
      <c r="K217" s="3"/>
      <c r="L217" s="3"/>
      <c r="M217" s="3"/>
      <c r="N217" s="4">
        <f t="shared" si="9"/>
        <v>-100</v>
      </c>
    </row>
    <row r="218" spans="1:14" ht="39" customHeight="1" x14ac:dyDescent="0.25">
      <c r="A218" t="str">
        <f t="shared" si="8"/>
        <v>038500055044000</v>
      </c>
      <c r="B218" s="3" t="s">
        <v>84</v>
      </c>
      <c r="C218" s="3" t="s">
        <v>526</v>
      </c>
      <c r="D218" s="3"/>
      <c r="E218" s="3" t="s">
        <v>533</v>
      </c>
      <c r="F218" s="3" t="s">
        <v>25</v>
      </c>
      <c r="G218" s="3" t="s">
        <v>534</v>
      </c>
      <c r="H218" s="11">
        <v>35000</v>
      </c>
      <c r="I218" s="11"/>
      <c r="J218" s="3"/>
      <c r="K218" s="3"/>
      <c r="L218" s="3"/>
      <c r="M218" s="3"/>
      <c r="N218" s="4">
        <f t="shared" si="9"/>
        <v>-100</v>
      </c>
    </row>
    <row r="219" spans="1:14" ht="39" customHeight="1" x14ac:dyDescent="0.25">
      <c r="A219" t="str">
        <f t="shared" si="8"/>
        <v>0385000550416000</v>
      </c>
      <c r="B219" s="3" t="s">
        <v>84</v>
      </c>
      <c r="C219" s="3" t="s">
        <v>526</v>
      </c>
      <c r="D219" s="3"/>
      <c r="E219" s="3" t="s">
        <v>535</v>
      </c>
      <c r="F219" s="3" t="s">
        <v>25</v>
      </c>
      <c r="G219" s="3" t="s">
        <v>536</v>
      </c>
      <c r="H219" s="11">
        <v>12000</v>
      </c>
      <c r="I219" s="11"/>
      <c r="J219" s="3"/>
      <c r="K219" s="3"/>
      <c r="L219" s="3"/>
      <c r="M219" s="3"/>
      <c r="N219" s="4">
        <f t="shared" si="9"/>
        <v>-100</v>
      </c>
    </row>
    <row r="220" spans="1:14" ht="39" customHeight="1" x14ac:dyDescent="0.25">
      <c r="A220" t="str">
        <f t="shared" si="8"/>
        <v>0385000552512000</v>
      </c>
      <c r="B220" s="3" t="s">
        <v>84</v>
      </c>
      <c r="C220" s="3" t="s">
        <v>526</v>
      </c>
      <c r="D220" s="3"/>
      <c r="E220" s="3" t="s">
        <v>537</v>
      </c>
      <c r="F220" s="3" t="s">
        <v>25</v>
      </c>
      <c r="G220" s="3" t="s">
        <v>538</v>
      </c>
      <c r="H220" s="11">
        <v>43000</v>
      </c>
      <c r="I220" s="11"/>
      <c r="J220" s="3"/>
      <c r="K220" s="3"/>
      <c r="L220" s="3"/>
      <c r="M220" s="3"/>
      <c r="N220" s="4">
        <f t="shared" si="9"/>
        <v>-100</v>
      </c>
    </row>
    <row r="221" spans="1:14" ht="39" customHeight="1" x14ac:dyDescent="0.25">
      <c r="A221" t="str">
        <f t="shared" si="8"/>
        <v>038500055362900</v>
      </c>
      <c r="B221" s="3" t="s">
        <v>84</v>
      </c>
      <c r="C221" s="3" t="s">
        <v>526</v>
      </c>
      <c r="D221" s="3"/>
      <c r="E221" s="3" t="s">
        <v>539</v>
      </c>
      <c r="F221" s="3" t="s">
        <v>43</v>
      </c>
      <c r="G221" s="3" t="s">
        <v>540</v>
      </c>
      <c r="H221" s="11">
        <v>3000</v>
      </c>
      <c r="I221" s="11"/>
      <c r="J221" s="3"/>
      <c r="K221" s="3"/>
      <c r="L221" s="3"/>
      <c r="M221" s="3"/>
      <c r="N221" s="4">
        <f t="shared" si="9"/>
        <v>-100</v>
      </c>
    </row>
    <row r="222" spans="1:14" ht="39" customHeight="1" x14ac:dyDescent="0.25">
      <c r="A222" t="str">
        <f t="shared" si="8"/>
        <v>038500057291500</v>
      </c>
      <c r="B222" s="3" t="s">
        <v>84</v>
      </c>
      <c r="C222" s="3" t="s">
        <v>526</v>
      </c>
      <c r="D222" s="3"/>
      <c r="E222" s="3" t="s">
        <v>541</v>
      </c>
      <c r="F222" s="3" t="s">
        <v>22</v>
      </c>
      <c r="G222" s="3" t="s">
        <v>542</v>
      </c>
      <c r="H222" s="11">
        <v>10000</v>
      </c>
      <c r="I222" s="11"/>
      <c r="J222" s="3"/>
      <c r="K222" s="3"/>
      <c r="L222" s="3"/>
      <c r="M222" s="3"/>
      <c r="N222" s="4">
        <f t="shared" si="9"/>
        <v>-100</v>
      </c>
    </row>
    <row r="223" spans="1:14" ht="39" customHeight="1" x14ac:dyDescent="0.25">
      <c r="A223" t="str">
        <f t="shared" ref="A223:A286" si="10">E185&amp;H185</f>
        <v>038500057574000</v>
      </c>
      <c r="B223" s="3" t="s">
        <v>84</v>
      </c>
      <c r="C223" s="3" t="s">
        <v>526</v>
      </c>
      <c r="D223" s="3"/>
      <c r="E223" s="3" t="s">
        <v>543</v>
      </c>
      <c r="F223" s="3" t="s">
        <v>22</v>
      </c>
      <c r="G223" s="3" t="s">
        <v>544</v>
      </c>
      <c r="H223" s="11">
        <v>12600</v>
      </c>
      <c r="I223" s="11"/>
      <c r="J223" s="3"/>
      <c r="K223" s="3"/>
      <c r="L223" s="3"/>
      <c r="M223" s="3"/>
      <c r="N223" s="4">
        <f t="shared" si="9"/>
        <v>-100</v>
      </c>
    </row>
    <row r="224" spans="1:14" ht="39" customHeight="1" x14ac:dyDescent="0.25">
      <c r="A224" t="str">
        <f t="shared" si="10"/>
        <v>038500057705200</v>
      </c>
      <c r="B224" s="3" t="s">
        <v>84</v>
      </c>
      <c r="C224" s="3" t="s">
        <v>526</v>
      </c>
      <c r="D224" s="3"/>
      <c r="E224" s="3" t="s">
        <v>545</v>
      </c>
      <c r="F224" s="3" t="s">
        <v>22</v>
      </c>
      <c r="G224" s="3" t="s">
        <v>546</v>
      </c>
      <c r="H224" s="11">
        <v>2300</v>
      </c>
      <c r="I224" s="11"/>
      <c r="J224" s="3"/>
      <c r="K224" s="3"/>
      <c r="L224" s="3"/>
      <c r="M224" s="3"/>
      <c r="N224" s="4">
        <f t="shared" si="9"/>
        <v>-100</v>
      </c>
    </row>
    <row r="225" spans="1:14" ht="39" customHeight="1" x14ac:dyDescent="0.25">
      <c r="A225" t="str">
        <f t="shared" si="10"/>
        <v>038500057812000</v>
      </c>
      <c r="B225" s="3" t="s">
        <v>84</v>
      </c>
      <c r="C225" s="3" t="s">
        <v>526</v>
      </c>
      <c r="D225" s="3"/>
      <c r="E225" s="3" t="s">
        <v>547</v>
      </c>
      <c r="F225" s="3" t="s">
        <v>20</v>
      </c>
      <c r="G225" s="3" t="s">
        <v>548</v>
      </c>
      <c r="H225" s="11">
        <v>7500</v>
      </c>
      <c r="I225" s="11"/>
      <c r="J225" s="3"/>
      <c r="K225" s="3"/>
      <c r="L225" s="3"/>
      <c r="M225" s="3"/>
      <c r="N225" s="4">
        <f t="shared" si="9"/>
        <v>-100</v>
      </c>
    </row>
    <row r="226" spans="1:14" ht="39" customHeight="1" x14ac:dyDescent="0.25">
      <c r="A226" t="str">
        <f t="shared" si="10"/>
        <v>038500057852500</v>
      </c>
      <c r="B226" s="3" t="s">
        <v>84</v>
      </c>
      <c r="C226" s="3" t="s">
        <v>526</v>
      </c>
      <c r="D226" s="3"/>
      <c r="E226" s="3" t="s">
        <v>549</v>
      </c>
      <c r="F226" s="3" t="s">
        <v>22</v>
      </c>
      <c r="G226" s="3" t="s">
        <v>550</v>
      </c>
      <c r="H226" s="11">
        <v>4500</v>
      </c>
      <c r="I226" s="11"/>
      <c r="J226" s="3"/>
      <c r="K226" s="3"/>
      <c r="L226" s="3"/>
      <c r="M226" s="3"/>
      <c r="N226" s="4">
        <f t="shared" si="9"/>
        <v>-100</v>
      </c>
    </row>
    <row r="227" spans="1:14" ht="39" customHeight="1" x14ac:dyDescent="0.25">
      <c r="A227" t="str">
        <f t="shared" si="10"/>
        <v>038500057852100</v>
      </c>
      <c r="B227" s="3" t="s">
        <v>84</v>
      </c>
      <c r="C227" s="3" t="s">
        <v>526</v>
      </c>
      <c r="D227" s="3"/>
      <c r="E227" s="3" t="s">
        <v>551</v>
      </c>
      <c r="F227" s="3" t="s">
        <v>22</v>
      </c>
      <c r="G227" s="3" t="s">
        <v>552</v>
      </c>
      <c r="H227" s="11">
        <v>25000</v>
      </c>
      <c r="I227" s="11"/>
      <c r="J227" s="3"/>
      <c r="K227" s="3"/>
      <c r="L227" s="3"/>
      <c r="M227" s="3"/>
      <c r="N227" s="4">
        <f t="shared" si="9"/>
        <v>-100</v>
      </c>
    </row>
    <row r="228" spans="1:14" ht="39" customHeight="1" x14ac:dyDescent="0.25">
      <c r="A228" t="str">
        <f t="shared" si="10"/>
        <v>038500058223000</v>
      </c>
      <c r="B228" s="3" t="s">
        <v>84</v>
      </c>
      <c r="C228" s="3" t="s">
        <v>526</v>
      </c>
      <c r="D228" s="3"/>
      <c r="E228" s="3" t="s">
        <v>553</v>
      </c>
      <c r="F228" s="3" t="s">
        <v>22</v>
      </c>
      <c r="G228" s="3" t="s">
        <v>554</v>
      </c>
      <c r="H228" s="11">
        <v>35500</v>
      </c>
      <c r="I228" s="11"/>
      <c r="J228" s="3"/>
      <c r="K228" s="3"/>
      <c r="L228" s="3"/>
      <c r="M228" s="3"/>
      <c r="N228" s="4">
        <f t="shared" si="9"/>
        <v>-100</v>
      </c>
    </row>
    <row r="229" spans="1:14" ht="39" customHeight="1" x14ac:dyDescent="0.25">
      <c r="A229" t="str">
        <f t="shared" si="10"/>
        <v>0385000582311800</v>
      </c>
      <c r="B229" s="3" t="s">
        <v>84</v>
      </c>
      <c r="C229" s="3" t="s">
        <v>526</v>
      </c>
      <c r="D229" s="3"/>
      <c r="E229" s="3" t="s">
        <v>555</v>
      </c>
      <c r="F229" s="3" t="s">
        <v>41</v>
      </c>
      <c r="G229" s="3" t="s">
        <v>556</v>
      </c>
      <c r="H229" s="11">
        <v>2500</v>
      </c>
      <c r="I229" s="11"/>
      <c r="J229" s="3"/>
      <c r="K229" s="3"/>
      <c r="L229" s="3"/>
      <c r="M229" s="3"/>
      <c r="N229" s="4">
        <f t="shared" si="9"/>
        <v>-100</v>
      </c>
    </row>
    <row r="230" spans="1:14" ht="39" customHeight="1" x14ac:dyDescent="0.25">
      <c r="A230" t="str">
        <f t="shared" si="10"/>
        <v>038500058497100</v>
      </c>
      <c r="B230" s="3" t="s">
        <v>84</v>
      </c>
      <c r="C230" s="3" t="s">
        <v>526</v>
      </c>
      <c r="D230" s="3"/>
      <c r="E230" s="3" t="s">
        <v>557</v>
      </c>
      <c r="F230" s="3" t="s">
        <v>44</v>
      </c>
      <c r="G230" s="3" t="s">
        <v>558</v>
      </c>
      <c r="H230" s="11">
        <v>2500</v>
      </c>
      <c r="I230" s="11"/>
      <c r="J230" s="3"/>
      <c r="K230" s="3"/>
      <c r="L230" s="3"/>
      <c r="M230" s="3"/>
      <c r="N230" s="4">
        <f t="shared" si="9"/>
        <v>-100</v>
      </c>
    </row>
    <row r="231" spans="1:14" ht="39" customHeight="1" x14ac:dyDescent="0.25">
      <c r="A231" t="str">
        <f t="shared" si="10"/>
        <v>038500058643500</v>
      </c>
      <c r="B231" s="3" t="s">
        <v>84</v>
      </c>
      <c r="C231" s="3" t="s">
        <v>526</v>
      </c>
      <c r="D231" s="3"/>
      <c r="E231" s="3" t="s">
        <v>559</v>
      </c>
      <c r="F231" s="3" t="s">
        <v>22</v>
      </c>
      <c r="G231" s="3" t="s">
        <v>560</v>
      </c>
      <c r="H231" s="11">
        <v>14300</v>
      </c>
      <c r="I231" s="11"/>
      <c r="J231" s="3"/>
      <c r="K231" s="3"/>
      <c r="L231" s="3"/>
      <c r="M231" s="3"/>
      <c r="N231" s="4">
        <f t="shared" si="9"/>
        <v>-100</v>
      </c>
    </row>
    <row r="232" spans="1:14" ht="39" customHeight="1" x14ac:dyDescent="0.25">
      <c r="A232" t="str">
        <f t="shared" si="10"/>
        <v>039700026173500</v>
      </c>
      <c r="B232" s="3" t="s">
        <v>84</v>
      </c>
      <c r="C232" s="3" t="s">
        <v>526</v>
      </c>
      <c r="D232" s="3"/>
      <c r="E232" s="3" t="s">
        <v>561</v>
      </c>
      <c r="F232" s="3" t="s">
        <v>16</v>
      </c>
      <c r="G232" s="3" t="s">
        <v>562</v>
      </c>
      <c r="H232" s="11">
        <v>13600</v>
      </c>
      <c r="I232" s="11"/>
      <c r="J232" s="3"/>
      <c r="K232" s="3"/>
      <c r="L232" s="3"/>
      <c r="M232" s="3"/>
      <c r="N232" s="4">
        <f t="shared" si="9"/>
        <v>-100</v>
      </c>
    </row>
    <row r="233" spans="1:14" ht="39" customHeight="1" x14ac:dyDescent="0.25">
      <c r="A233" t="str">
        <f t="shared" si="10"/>
        <v>039700028851900</v>
      </c>
      <c r="B233" s="3" t="s">
        <v>84</v>
      </c>
      <c r="C233" s="3" t="s">
        <v>563</v>
      </c>
      <c r="D233" s="3"/>
      <c r="E233" s="3" t="s">
        <v>564</v>
      </c>
      <c r="F233" s="3" t="s">
        <v>43</v>
      </c>
      <c r="G233" s="3" t="s">
        <v>565</v>
      </c>
      <c r="H233" s="11">
        <v>1000</v>
      </c>
      <c r="I233" s="11"/>
      <c r="J233" s="3"/>
      <c r="K233" s="3"/>
      <c r="L233" s="3"/>
      <c r="M233" s="3"/>
      <c r="N233" s="4">
        <f t="shared" si="9"/>
        <v>-100</v>
      </c>
    </row>
    <row r="234" spans="1:14" ht="39" customHeight="1" x14ac:dyDescent="0.25">
      <c r="A234" t="str">
        <f t="shared" si="10"/>
        <v>0397000289714000</v>
      </c>
      <c r="B234" s="3" t="s">
        <v>84</v>
      </c>
      <c r="C234" s="3" t="s">
        <v>563</v>
      </c>
      <c r="D234" s="3"/>
      <c r="E234" s="3" t="s">
        <v>566</v>
      </c>
      <c r="F234" s="3" t="s">
        <v>22</v>
      </c>
      <c r="G234" s="3" t="s">
        <v>567</v>
      </c>
      <c r="H234" s="11">
        <v>2700</v>
      </c>
      <c r="I234" s="11"/>
      <c r="J234" s="3"/>
      <c r="K234" s="3"/>
      <c r="L234" s="3"/>
      <c r="M234" s="3"/>
      <c r="N234" s="4">
        <f t="shared" si="9"/>
        <v>-100</v>
      </c>
    </row>
    <row r="235" spans="1:14" ht="39" customHeight="1" x14ac:dyDescent="0.25">
      <c r="A235" t="str">
        <f t="shared" si="10"/>
        <v>039700028992000</v>
      </c>
      <c r="B235" s="3" t="s">
        <v>84</v>
      </c>
      <c r="C235" s="3" t="s">
        <v>563</v>
      </c>
      <c r="D235" s="3"/>
      <c r="E235" s="3" t="s">
        <v>568</v>
      </c>
      <c r="F235" s="3" t="s">
        <v>44</v>
      </c>
      <c r="G235" s="3" t="s">
        <v>569</v>
      </c>
      <c r="H235" s="11">
        <v>1000</v>
      </c>
      <c r="I235" s="11"/>
      <c r="J235" s="3"/>
      <c r="K235" s="3"/>
      <c r="L235" s="3"/>
      <c r="M235" s="3"/>
      <c r="N235" s="4">
        <f t="shared" si="9"/>
        <v>-100</v>
      </c>
    </row>
    <row r="236" spans="1:14" ht="39" customHeight="1" x14ac:dyDescent="0.25">
      <c r="A236" t="str">
        <f t="shared" si="10"/>
        <v>039700029002300</v>
      </c>
      <c r="B236" s="3" t="s">
        <v>84</v>
      </c>
      <c r="C236" s="3" t="s">
        <v>563</v>
      </c>
      <c r="D236" s="3"/>
      <c r="E236" s="3" t="s">
        <v>570</v>
      </c>
      <c r="F236" s="3" t="s">
        <v>22</v>
      </c>
      <c r="G236" s="3" t="s">
        <v>571</v>
      </c>
      <c r="H236" s="11">
        <v>2600</v>
      </c>
      <c r="I236" s="11"/>
      <c r="J236" s="3"/>
      <c r="K236" s="3"/>
      <c r="L236" s="3"/>
      <c r="M236" s="3"/>
      <c r="N236" s="4">
        <f t="shared" si="9"/>
        <v>-100</v>
      </c>
    </row>
    <row r="237" spans="1:14" ht="39" customHeight="1" x14ac:dyDescent="0.25">
      <c r="A237" t="str">
        <f t="shared" si="10"/>
        <v>03970002922300</v>
      </c>
      <c r="B237" s="3" t="s">
        <v>84</v>
      </c>
      <c r="C237" s="3" t="s">
        <v>563</v>
      </c>
      <c r="D237" s="3"/>
      <c r="E237" s="3" t="s">
        <v>572</v>
      </c>
      <c r="F237" s="3" t="s">
        <v>78</v>
      </c>
      <c r="G237" s="3" t="s">
        <v>573</v>
      </c>
      <c r="H237" s="11">
        <v>18000</v>
      </c>
      <c r="I237" s="11"/>
      <c r="J237" s="3"/>
      <c r="K237" s="3"/>
      <c r="L237" s="3"/>
      <c r="M237" s="3"/>
      <c r="N237" s="4">
        <f t="shared" si="9"/>
        <v>-100</v>
      </c>
    </row>
    <row r="238" spans="1:14" ht="39" customHeight="1" x14ac:dyDescent="0.25">
      <c r="A238" t="str">
        <f t="shared" si="10"/>
        <v>039700030322000</v>
      </c>
      <c r="B238" s="3" t="s">
        <v>84</v>
      </c>
      <c r="C238" s="3" t="s">
        <v>563</v>
      </c>
      <c r="D238" s="3"/>
      <c r="E238" s="3" t="s">
        <v>574</v>
      </c>
      <c r="F238" s="3" t="s">
        <v>22</v>
      </c>
      <c r="G238" s="3" t="s">
        <v>575</v>
      </c>
      <c r="H238" s="11">
        <v>1500</v>
      </c>
      <c r="I238" s="11"/>
      <c r="J238" s="3"/>
      <c r="K238" s="3"/>
      <c r="L238" s="3"/>
      <c r="M238" s="3"/>
      <c r="N238" s="4">
        <f t="shared" si="9"/>
        <v>-100</v>
      </c>
    </row>
    <row r="239" spans="1:14" ht="39" customHeight="1" x14ac:dyDescent="0.25">
      <c r="A239" t="str">
        <f t="shared" si="10"/>
        <v>039700030331700</v>
      </c>
      <c r="B239" s="3" t="s">
        <v>84</v>
      </c>
      <c r="C239" s="3" t="s">
        <v>563</v>
      </c>
      <c r="D239" s="3"/>
      <c r="E239" s="3" t="s">
        <v>576</v>
      </c>
      <c r="F239" s="3" t="s">
        <v>22</v>
      </c>
      <c r="G239" s="3" t="s">
        <v>577</v>
      </c>
      <c r="H239" s="11">
        <v>10000</v>
      </c>
      <c r="I239" s="11"/>
      <c r="J239" s="3"/>
      <c r="K239" s="3"/>
      <c r="L239" s="3"/>
      <c r="M239" s="3"/>
      <c r="N239" s="4">
        <f t="shared" si="9"/>
        <v>-100</v>
      </c>
    </row>
    <row r="240" spans="1:14" ht="39" customHeight="1" x14ac:dyDescent="0.25">
      <c r="A240" t="str">
        <f t="shared" si="10"/>
        <v>039700030341700</v>
      </c>
      <c r="B240" s="3" t="s">
        <v>84</v>
      </c>
      <c r="C240" s="3" t="s">
        <v>578</v>
      </c>
      <c r="D240" s="3"/>
      <c r="E240" s="3" t="s">
        <v>579</v>
      </c>
      <c r="F240" s="3" t="s">
        <v>20</v>
      </c>
      <c r="G240" s="3" t="s">
        <v>580</v>
      </c>
      <c r="H240" s="11">
        <v>4500</v>
      </c>
      <c r="I240" s="11"/>
      <c r="J240" s="3"/>
      <c r="K240" s="3"/>
      <c r="L240" s="3"/>
      <c r="M240" s="3"/>
      <c r="N240" s="4">
        <f t="shared" si="9"/>
        <v>-100</v>
      </c>
    </row>
    <row r="241" spans="1:14" ht="39" customHeight="1" x14ac:dyDescent="0.25">
      <c r="A241" t="str">
        <f t="shared" si="10"/>
        <v>039700030351700</v>
      </c>
      <c r="B241" s="3" t="s">
        <v>84</v>
      </c>
      <c r="C241" s="3" t="s">
        <v>578</v>
      </c>
      <c r="D241" s="3"/>
      <c r="E241" s="3" t="s">
        <v>581</v>
      </c>
      <c r="F241" s="3" t="s">
        <v>32</v>
      </c>
      <c r="G241" s="3" t="s">
        <v>582</v>
      </c>
      <c r="H241" s="11">
        <v>1600</v>
      </c>
      <c r="I241" s="11"/>
      <c r="J241" s="3"/>
      <c r="K241" s="3"/>
      <c r="L241" s="3"/>
      <c r="M241" s="3"/>
      <c r="N241" s="4">
        <f t="shared" si="9"/>
        <v>-100</v>
      </c>
    </row>
    <row r="242" spans="1:14" ht="39" customHeight="1" x14ac:dyDescent="0.25">
      <c r="A242" t="str">
        <f t="shared" si="10"/>
        <v>039700030513500</v>
      </c>
      <c r="B242" s="3" t="s">
        <v>84</v>
      </c>
      <c r="C242" s="3" t="s">
        <v>578</v>
      </c>
      <c r="D242" s="3"/>
      <c r="E242" s="3" t="s">
        <v>581</v>
      </c>
      <c r="F242" s="3" t="s">
        <v>32</v>
      </c>
      <c r="G242" s="3" t="s">
        <v>583</v>
      </c>
      <c r="H242" s="11">
        <v>1500</v>
      </c>
      <c r="I242" s="11"/>
      <c r="J242" s="3"/>
      <c r="K242" s="3"/>
      <c r="L242" s="3"/>
      <c r="M242" s="3"/>
      <c r="N242" s="4">
        <f t="shared" si="9"/>
        <v>-100</v>
      </c>
    </row>
    <row r="243" spans="1:14" ht="39" customHeight="1" x14ac:dyDescent="0.25">
      <c r="A243" t="str">
        <f t="shared" si="10"/>
        <v>039700030512500</v>
      </c>
      <c r="B243" s="3" t="s">
        <v>84</v>
      </c>
      <c r="C243" s="3" t="s">
        <v>578</v>
      </c>
      <c r="D243" s="3"/>
      <c r="E243" s="3" t="s">
        <v>584</v>
      </c>
      <c r="F243" s="3" t="s">
        <v>22</v>
      </c>
      <c r="G243" s="3" t="s">
        <v>585</v>
      </c>
      <c r="H243" s="11">
        <v>2500</v>
      </c>
      <c r="I243" s="11"/>
      <c r="J243" s="3"/>
      <c r="K243" s="3"/>
      <c r="L243" s="3"/>
      <c r="M243" s="3"/>
      <c r="N243" s="4">
        <f t="shared" si="9"/>
        <v>-100</v>
      </c>
    </row>
    <row r="244" spans="1:14" ht="39" customHeight="1" x14ac:dyDescent="0.25">
      <c r="A244" t="str">
        <f t="shared" si="10"/>
        <v>0411000293910000</v>
      </c>
      <c r="B244" s="3" t="s">
        <v>84</v>
      </c>
      <c r="C244" s="3" t="s">
        <v>578</v>
      </c>
      <c r="D244" s="3"/>
      <c r="E244" s="3" t="s">
        <v>586</v>
      </c>
      <c r="F244" s="3" t="s">
        <v>32</v>
      </c>
      <c r="G244" s="3" t="s">
        <v>587</v>
      </c>
      <c r="H244" s="11">
        <v>1500</v>
      </c>
      <c r="I244" s="11"/>
      <c r="J244" s="3"/>
      <c r="K244" s="3"/>
      <c r="L244" s="3"/>
      <c r="M244" s="3"/>
      <c r="N244" s="4">
        <f t="shared" si="9"/>
        <v>-100</v>
      </c>
    </row>
    <row r="245" spans="1:14" ht="39" customHeight="1" x14ac:dyDescent="0.25">
      <c r="A245" t="str">
        <f t="shared" si="10"/>
        <v>0411000294113000</v>
      </c>
      <c r="B245" s="3" t="s">
        <v>84</v>
      </c>
      <c r="C245" s="3" t="s">
        <v>578</v>
      </c>
      <c r="D245" s="3"/>
      <c r="E245" s="3" t="s">
        <v>588</v>
      </c>
      <c r="F245" s="3" t="s">
        <v>22</v>
      </c>
      <c r="G245" s="3" t="s">
        <v>589</v>
      </c>
      <c r="H245" s="11">
        <v>6600</v>
      </c>
      <c r="I245" s="11"/>
      <c r="J245" s="3"/>
      <c r="K245" s="3"/>
      <c r="L245" s="3"/>
      <c r="M245" s="3"/>
      <c r="N245" s="4">
        <f t="shared" si="9"/>
        <v>-100</v>
      </c>
    </row>
    <row r="246" spans="1:14" ht="39" customHeight="1" x14ac:dyDescent="0.25">
      <c r="A246" t="str">
        <f t="shared" si="10"/>
        <v>041100037435000</v>
      </c>
      <c r="B246" s="3" t="s">
        <v>84</v>
      </c>
      <c r="C246" s="3" t="s">
        <v>578</v>
      </c>
      <c r="D246" s="3"/>
      <c r="E246" s="3" t="s">
        <v>590</v>
      </c>
      <c r="F246" s="3" t="s">
        <v>22</v>
      </c>
      <c r="G246" s="3" t="s">
        <v>591</v>
      </c>
      <c r="H246" s="11">
        <v>8500</v>
      </c>
      <c r="I246" s="11"/>
      <c r="J246" s="3"/>
      <c r="K246" s="3"/>
      <c r="L246" s="3"/>
      <c r="M246" s="3"/>
      <c r="N246" s="4">
        <f t="shared" si="9"/>
        <v>-100</v>
      </c>
    </row>
    <row r="247" spans="1:14" ht="39" customHeight="1" x14ac:dyDescent="0.25">
      <c r="A247" t="str">
        <f t="shared" si="10"/>
        <v>041100039247000</v>
      </c>
      <c r="B247" s="3" t="s">
        <v>84</v>
      </c>
      <c r="C247" s="3" t="s">
        <v>578</v>
      </c>
      <c r="D247" s="3"/>
      <c r="E247" s="3" t="s">
        <v>592</v>
      </c>
      <c r="F247" s="3" t="s">
        <v>20</v>
      </c>
      <c r="G247" s="3" t="s">
        <v>593</v>
      </c>
      <c r="H247" s="11">
        <v>10500</v>
      </c>
      <c r="I247" s="11"/>
      <c r="J247" s="3"/>
      <c r="K247" s="3"/>
      <c r="L247" s="3"/>
      <c r="M247" s="3"/>
      <c r="N247" s="4">
        <f t="shared" si="9"/>
        <v>-100</v>
      </c>
    </row>
    <row r="248" spans="1:14" ht="39" customHeight="1" x14ac:dyDescent="0.25">
      <c r="A248" t="str">
        <f t="shared" si="10"/>
        <v>041100039482000</v>
      </c>
      <c r="B248" s="3" t="s">
        <v>84</v>
      </c>
      <c r="C248" s="3" t="s">
        <v>578</v>
      </c>
      <c r="D248" s="3"/>
      <c r="E248" s="3" t="s">
        <v>594</v>
      </c>
      <c r="F248" s="3" t="s">
        <v>20</v>
      </c>
      <c r="G248" s="3" t="s">
        <v>595</v>
      </c>
      <c r="H248" s="11">
        <v>53000</v>
      </c>
      <c r="I248" s="11"/>
      <c r="J248" s="3"/>
      <c r="K248" s="3"/>
      <c r="L248" s="3"/>
      <c r="M248" s="3"/>
      <c r="N248" s="4">
        <f t="shared" si="9"/>
        <v>-100</v>
      </c>
    </row>
    <row r="249" spans="1:14" ht="39" customHeight="1" x14ac:dyDescent="0.25">
      <c r="A249" t="str">
        <f t="shared" si="10"/>
        <v>041100039674200</v>
      </c>
      <c r="B249" s="3" t="s">
        <v>84</v>
      </c>
      <c r="C249" s="3" t="s">
        <v>596</v>
      </c>
      <c r="D249" s="3"/>
      <c r="E249" s="3" t="s">
        <v>597</v>
      </c>
      <c r="F249" s="3" t="s">
        <v>32</v>
      </c>
      <c r="G249" s="3" t="s">
        <v>598</v>
      </c>
      <c r="H249" s="11">
        <v>1500</v>
      </c>
      <c r="I249" s="11"/>
      <c r="J249" s="3"/>
      <c r="K249" s="3"/>
      <c r="L249" s="3"/>
      <c r="M249" s="3"/>
      <c r="N249" s="4">
        <f t="shared" ref="N249:N312" si="11">IFERROR(((I249*100)/H249)-100,"")</f>
        <v>-100</v>
      </c>
    </row>
    <row r="250" spans="1:14" ht="39" customHeight="1" x14ac:dyDescent="0.25">
      <c r="A250" t="str">
        <f t="shared" si="10"/>
        <v>04110003982200</v>
      </c>
      <c r="B250" s="3" t="s">
        <v>84</v>
      </c>
      <c r="C250" s="3" t="s">
        <v>596</v>
      </c>
      <c r="D250" s="3"/>
      <c r="E250" s="3" t="s">
        <v>599</v>
      </c>
      <c r="F250" s="3" t="s">
        <v>22</v>
      </c>
      <c r="G250" s="3" t="s">
        <v>600</v>
      </c>
      <c r="H250" s="11">
        <v>7500</v>
      </c>
      <c r="I250" s="11"/>
      <c r="J250" s="3"/>
      <c r="K250" s="3"/>
      <c r="L250" s="3"/>
      <c r="M250" s="3"/>
      <c r="N250" s="4">
        <f t="shared" si="11"/>
        <v>-100</v>
      </c>
    </row>
    <row r="251" spans="1:14" ht="39" customHeight="1" x14ac:dyDescent="0.25">
      <c r="A251" t="str">
        <f t="shared" si="10"/>
        <v>04110004073699,84</v>
      </c>
      <c r="B251" s="3" t="s">
        <v>84</v>
      </c>
      <c r="C251" s="3" t="s">
        <v>596</v>
      </c>
      <c r="D251" s="3"/>
      <c r="E251" s="3" t="s">
        <v>601</v>
      </c>
      <c r="F251" s="3" t="s">
        <v>22</v>
      </c>
      <c r="G251" s="3" t="s">
        <v>602</v>
      </c>
      <c r="H251" s="11">
        <v>3500</v>
      </c>
      <c r="I251" s="11"/>
      <c r="J251" s="3"/>
      <c r="K251" s="3"/>
      <c r="L251" s="3"/>
      <c r="M251" s="3"/>
      <c r="N251" s="4">
        <f t="shared" si="11"/>
        <v>-100</v>
      </c>
    </row>
    <row r="252" spans="1:14" ht="39" customHeight="1" x14ac:dyDescent="0.25">
      <c r="A252" t="str">
        <f t="shared" si="10"/>
        <v>041100040874000</v>
      </c>
      <c r="B252" s="3" t="s">
        <v>84</v>
      </c>
      <c r="C252" s="3" t="s">
        <v>596</v>
      </c>
      <c r="D252" s="3"/>
      <c r="E252" s="3" t="s">
        <v>603</v>
      </c>
      <c r="F252" s="3" t="s">
        <v>22</v>
      </c>
      <c r="G252" s="3" t="s">
        <v>604</v>
      </c>
      <c r="H252" s="11">
        <v>5000</v>
      </c>
      <c r="I252" s="11"/>
      <c r="J252" s="3"/>
      <c r="K252" s="3"/>
      <c r="L252" s="3"/>
      <c r="M252" s="3"/>
      <c r="N252" s="4">
        <f t="shared" si="11"/>
        <v>-100</v>
      </c>
    </row>
    <row r="253" spans="1:14" ht="39" customHeight="1" x14ac:dyDescent="0.25">
      <c r="A253" t="str">
        <f t="shared" si="10"/>
        <v>042200019671500</v>
      </c>
      <c r="B253" s="3" t="s">
        <v>84</v>
      </c>
      <c r="C253" s="3" t="s">
        <v>605</v>
      </c>
      <c r="D253" s="3"/>
      <c r="E253" s="3" t="s">
        <v>606</v>
      </c>
      <c r="F253" s="3" t="s">
        <v>25</v>
      </c>
      <c r="G253" s="3" t="s">
        <v>607</v>
      </c>
      <c r="H253" s="11">
        <v>2000</v>
      </c>
      <c r="I253" s="11"/>
      <c r="J253" s="3"/>
      <c r="K253" s="3"/>
      <c r="L253" s="3"/>
      <c r="M253" s="3"/>
      <c r="N253" s="4">
        <f t="shared" si="11"/>
        <v>-100</v>
      </c>
    </row>
    <row r="254" spans="1:14" ht="39" customHeight="1" x14ac:dyDescent="0.25">
      <c r="A254" t="str">
        <f t="shared" si="10"/>
        <v>042200019681500</v>
      </c>
      <c r="B254" s="3" t="s">
        <v>84</v>
      </c>
      <c r="C254" s="3" t="s">
        <v>605</v>
      </c>
      <c r="D254" s="3"/>
      <c r="E254" s="3" t="s">
        <v>608</v>
      </c>
      <c r="F254" s="3" t="s">
        <v>28</v>
      </c>
      <c r="G254" s="3" t="s">
        <v>609</v>
      </c>
      <c r="H254" s="11">
        <v>8000</v>
      </c>
      <c r="I254" s="11"/>
      <c r="J254" s="3"/>
      <c r="K254" s="3"/>
      <c r="L254" s="3"/>
      <c r="M254" s="3"/>
      <c r="N254" s="4">
        <f t="shared" si="11"/>
        <v>-100</v>
      </c>
    </row>
    <row r="255" spans="1:14" ht="39" customHeight="1" x14ac:dyDescent="0.25">
      <c r="A255" t="str">
        <f t="shared" si="10"/>
        <v>04220002871500</v>
      </c>
      <c r="B255" s="3" t="s">
        <v>84</v>
      </c>
      <c r="C255" s="3" t="s">
        <v>605</v>
      </c>
      <c r="D255" s="3"/>
      <c r="E255" s="3" t="s">
        <v>610</v>
      </c>
      <c r="F255" s="3" t="s">
        <v>22</v>
      </c>
      <c r="G255" s="3" t="s">
        <v>611</v>
      </c>
      <c r="H255" s="11">
        <v>19000</v>
      </c>
      <c r="I255" s="11"/>
      <c r="J255" s="3"/>
      <c r="K255" s="3"/>
      <c r="L255" s="3"/>
      <c r="M255" s="3"/>
      <c r="N255" s="4">
        <f t="shared" si="11"/>
        <v>-100</v>
      </c>
    </row>
    <row r="256" spans="1:14" ht="39" customHeight="1" x14ac:dyDescent="0.25">
      <c r="A256" t="str">
        <f t="shared" si="10"/>
        <v>0422000313935000</v>
      </c>
      <c r="B256" s="3" t="s">
        <v>84</v>
      </c>
      <c r="C256" s="3" t="s">
        <v>605</v>
      </c>
      <c r="D256" s="3"/>
      <c r="E256" s="3" t="s">
        <v>612</v>
      </c>
      <c r="F256" s="3" t="s">
        <v>19</v>
      </c>
      <c r="G256" s="3" t="s">
        <v>613</v>
      </c>
      <c r="H256" s="11">
        <v>3000</v>
      </c>
      <c r="I256" s="11"/>
      <c r="J256" s="3"/>
      <c r="K256" s="3"/>
      <c r="L256" s="3"/>
      <c r="M256" s="3"/>
      <c r="N256" s="4">
        <f t="shared" si="11"/>
        <v>-100</v>
      </c>
    </row>
    <row r="257" spans="1:14" ht="39" customHeight="1" x14ac:dyDescent="0.25">
      <c r="A257" t="str">
        <f t="shared" si="10"/>
        <v>0422000316612000</v>
      </c>
      <c r="B257" s="3" t="s">
        <v>84</v>
      </c>
      <c r="C257" s="3" t="s">
        <v>605</v>
      </c>
      <c r="D257" s="3"/>
      <c r="E257" s="3" t="s">
        <v>612</v>
      </c>
      <c r="F257" s="3" t="s">
        <v>82</v>
      </c>
      <c r="G257" s="3" t="s">
        <v>614</v>
      </c>
      <c r="H257" s="11">
        <v>1800</v>
      </c>
      <c r="I257" s="11"/>
      <c r="J257" s="3"/>
      <c r="K257" s="3"/>
      <c r="L257" s="3"/>
      <c r="M257" s="3"/>
      <c r="N257" s="4">
        <f t="shared" si="11"/>
        <v>-100</v>
      </c>
    </row>
    <row r="258" spans="1:14" ht="39" customHeight="1" x14ac:dyDescent="0.25">
      <c r="A258" t="str">
        <f t="shared" si="10"/>
        <v>0422000348543000</v>
      </c>
      <c r="B258" s="3" t="s">
        <v>84</v>
      </c>
      <c r="C258" s="3" t="s">
        <v>605</v>
      </c>
      <c r="D258" s="3"/>
      <c r="E258" s="3" t="s">
        <v>615</v>
      </c>
      <c r="F258" s="3" t="s">
        <v>22</v>
      </c>
      <c r="G258" s="3" t="s">
        <v>616</v>
      </c>
      <c r="H258" s="11">
        <v>2500</v>
      </c>
      <c r="I258" s="11"/>
      <c r="J258" s="3"/>
      <c r="K258" s="3"/>
      <c r="L258" s="3"/>
      <c r="M258" s="3"/>
      <c r="N258" s="4">
        <f t="shared" si="11"/>
        <v>-100</v>
      </c>
    </row>
    <row r="259" spans="1:14" ht="39" customHeight="1" x14ac:dyDescent="0.25">
      <c r="A259" t="str">
        <f t="shared" si="10"/>
        <v>042200037003000</v>
      </c>
      <c r="B259" s="3" t="s">
        <v>84</v>
      </c>
      <c r="C259" s="3" t="s">
        <v>605</v>
      </c>
      <c r="D259" s="3"/>
      <c r="E259" s="3" t="s">
        <v>617</v>
      </c>
      <c r="F259" s="3" t="s">
        <v>44</v>
      </c>
      <c r="G259" s="3" t="s">
        <v>618</v>
      </c>
      <c r="H259" s="11">
        <v>6400</v>
      </c>
      <c r="I259" s="11"/>
      <c r="J259" s="3"/>
      <c r="K259" s="3"/>
      <c r="L259" s="3"/>
      <c r="M259" s="3"/>
      <c r="N259" s="4">
        <f t="shared" si="11"/>
        <v>-100</v>
      </c>
    </row>
    <row r="260" spans="1:14" ht="39" customHeight="1" x14ac:dyDescent="0.25">
      <c r="A260" t="str">
        <f t="shared" si="10"/>
        <v>0422000370110000</v>
      </c>
      <c r="B260" s="3" t="s">
        <v>84</v>
      </c>
      <c r="C260" s="3" t="s">
        <v>605</v>
      </c>
      <c r="D260" s="3"/>
      <c r="E260" s="3" t="s">
        <v>619</v>
      </c>
      <c r="F260" s="3" t="s">
        <v>36</v>
      </c>
      <c r="G260" s="3" t="s">
        <v>620</v>
      </c>
      <c r="H260" s="11">
        <v>1091</v>
      </c>
      <c r="I260" s="11"/>
      <c r="J260" s="3"/>
      <c r="K260" s="3"/>
      <c r="L260" s="3"/>
      <c r="M260" s="3"/>
      <c r="N260" s="4">
        <f t="shared" si="11"/>
        <v>-100</v>
      </c>
    </row>
    <row r="261" spans="1:14" ht="39" customHeight="1" x14ac:dyDescent="0.25">
      <c r="A261" t="str">
        <f t="shared" si="10"/>
        <v>0422000371812600</v>
      </c>
      <c r="B261" s="3" t="s">
        <v>84</v>
      </c>
      <c r="C261" s="3" t="s">
        <v>605</v>
      </c>
      <c r="D261" s="3"/>
      <c r="E261" s="3" t="s">
        <v>619</v>
      </c>
      <c r="F261" s="3" t="s">
        <v>36</v>
      </c>
      <c r="G261" s="3" t="s">
        <v>621</v>
      </c>
      <c r="H261" s="11">
        <v>909</v>
      </c>
      <c r="I261" s="11"/>
      <c r="J261" s="3"/>
      <c r="K261" s="3"/>
      <c r="L261" s="3"/>
      <c r="M261" s="3"/>
      <c r="N261" s="4">
        <f t="shared" si="11"/>
        <v>-100</v>
      </c>
    </row>
    <row r="262" spans="1:14" ht="39" customHeight="1" x14ac:dyDescent="0.25">
      <c r="A262" t="str">
        <f t="shared" si="10"/>
        <v>042200037252300</v>
      </c>
      <c r="B262" s="3" t="s">
        <v>84</v>
      </c>
      <c r="C262" s="3" t="s">
        <v>605</v>
      </c>
      <c r="D262" s="3"/>
      <c r="E262" s="3" t="s">
        <v>619</v>
      </c>
      <c r="F262" s="3" t="s">
        <v>27</v>
      </c>
      <c r="G262" s="3" t="s">
        <v>622</v>
      </c>
      <c r="H262" s="11">
        <v>2000</v>
      </c>
      <c r="I262" s="11"/>
      <c r="J262" s="3"/>
      <c r="K262" s="3"/>
      <c r="L262" s="3"/>
      <c r="M262" s="3"/>
      <c r="N262" s="4">
        <f t="shared" si="11"/>
        <v>-100</v>
      </c>
    </row>
    <row r="263" spans="1:14" ht="39" customHeight="1" x14ac:dyDescent="0.25">
      <c r="A263" t="str">
        <f t="shared" si="10"/>
        <v>042200037527500</v>
      </c>
      <c r="B263" s="3" t="s">
        <v>84</v>
      </c>
      <c r="C263" s="3" t="s">
        <v>605</v>
      </c>
      <c r="D263" s="3"/>
      <c r="E263" s="3" t="s">
        <v>623</v>
      </c>
      <c r="F263" s="3" t="s">
        <v>40</v>
      </c>
      <c r="G263" s="3" t="s">
        <v>624</v>
      </c>
      <c r="H263" s="11">
        <v>28000</v>
      </c>
      <c r="I263" s="11"/>
      <c r="J263" s="3"/>
      <c r="K263" s="3"/>
      <c r="L263" s="3"/>
      <c r="M263" s="3"/>
      <c r="N263" s="4">
        <f t="shared" si="11"/>
        <v>-100</v>
      </c>
    </row>
    <row r="264" spans="1:14" ht="39" customHeight="1" x14ac:dyDescent="0.25">
      <c r="A264" t="str">
        <f t="shared" si="10"/>
        <v>042200037544500</v>
      </c>
      <c r="B264" s="3" t="s">
        <v>84</v>
      </c>
      <c r="C264" s="3" t="s">
        <v>605</v>
      </c>
      <c r="D264" s="3"/>
      <c r="E264" s="3" t="s">
        <v>625</v>
      </c>
      <c r="F264" s="3" t="s">
        <v>22</v>
      </c>
      <c r="G264" s="3" t="s">
        <v>626</v>
      </c>
      <c r="H264" s="11">
        <v>2100</v>
      </c>
      <c r="I264" s="11"/>
      <c r="J264" s="3"/>
      <c r="K264" s="3"/>
      <c r="L264" s="3"/>
      <c r="M264" s="3"/>
      <c r="N264" s="4">
        <f t="shared" si="11"/>
        <v>-100</v>
      </c>
    </row>
    <row r="265" spans="1:14" ht="39" customHeight="1" x14ac:dyDescent="0.25">
      <c r="A265" t="str">
        <f t="shared" si="10"/>
        <v>0422000375525000</v>
      </c>
      <c r="B265" s="3" t="s">
        <v>84</v>
      </c>
      <c r="C265" s="3" t="s">
        <v>605</v>
      </c>
      <c r="D265" s="3"/>
      <c r="E265" s="3" t="s">
        <v>627</v>
      </c>
      <c r="F265" s="3" t="s">
        <v>41</v>
      </c>
      <c r="G265" s="3" t="s">
        <v>628</v>
      </c>
      <c r="H265" s="11">
        <v>45000</v>
      </c>
      <c r="I265" s="11"/>
      <c r="J265" s="3"/>
      <c r="K265" s="3"/>
      <c r="L265" s="3"/>
      <c r="M265" s="3"/>
      <c r="N265" s="4">
        <f t="shared" si="11"/>
        <v>-100</v>
      </c>
    </row>
    <row r="266" spans="1:14" ht="39" customHeight="1" x14ac:dyDescent="0.25">
      <c r="A266" t="str">
        <f t="shared" si="10"/>
        <v>0422000380335500</v>
      </c>
      <c r="B266" s="3" t="s">
        <v>84</v>
      </c>
      <c r="C266" s="3" t="s">
        <v>605</v>
      </c>
      <c r="D266" s="3"/>
      <c r="E266" s="3" t="s">
        <v>629</v>
      </c>
      <c r="F266" s="3" t="s">
        <v>22</v>
      </c>
      <c r="G266" s="3" t="s">
        <v>630</v>
      </c>
      <c r="H266" s="11">
        <v>5000</v>
      </c>
      <c r="I266" s="11"/>
      <c r="J266" s="3"/>
      <c r="K266" s="3"/>
      <c r="L266" s="3"/>
      <c r="M266" s="3"/>
      <c r="N266" s="4">
        <f t="shared" si="11"/>
        <v>-100</v>
      </c>
    </row>
    <row r="267" spans="1:14" ht="39" customHeight="1" x14ac:dyDescent="0.25">
      <c r="A267" t="str">
        <f t="shared" si="10"/>
        <v>042200038142500</v>
      </c>
      <c r="B267" s="3" t="s">
        <v>84</v>
      </c>
      <c r="C267" s="3" t="s">
        <v>605</v>
      </c>
      <c r="D267" s="3"/>
      <c r="E267" s="3" t="s">
        <v>631</v>
      </c>
      <c r="F267" s="3" t="s">
        <v>33</v>
      </c>
      <c r="G267" s="3" t="s">
        <v>632</v>
      </c>
      <c r="H267" s="11">
        <v>2000</v>
      </c>
      <c r="I267" s="11"/>
      <c r="J267" s="3"/>
      <c r="K267" s="3"/>
      <c r="L267" s="3"/>
      <c r="M267" s="3"/>
      <c r="N267" s="4">
        <f t="shared" si="11"/>
        <v>-100</v>
      </c>
    </row>
    <row r="268" spans="1:14" ht="39" customHeight="1" x14ac:dyDescent="0.25">
      <c r="A268" t="str">
        <f t="shared" si="10"/>
        <v>042200038812500</v>
      </c>
      <c r="B268" s="3" t="s">
        <v>84</v>
      </c>
      <c r="C268" s="3" t="s">
        <v>605</v>
      </c>
      <c r="D268" s="3"/>
      <c r="E268" s="3" t="s">
        <v>633</v>
      </c>
      <c r="F268" s="3" t="s">
        <v>634</v>
      </c>
      <c r="G268" s="3" t="s">
        <v>635</v>
      </c>
      <c r="H268" s="11">
        <v>467</v>
      </c>
      <c r="I268" s="11"/>
      <c r="J268" s="3"/>
      <c r="K268" s="3"/>
      <c r="L268" s="3"/>
      <c r="M268" s="3"/>
      <c r="N268" s="4">
        <f t="shared" si="11"/>
        <v>-100</v>
      </c>
    </row>
    <row r="269" spans="1:14" ht="39" customHeight="1" x14ac:dyDescent="0.25">
      <c r="A269" t="str">
        <f t="shared" si="10"/>
        <v>0422000407714300</v>
      </c>
      <c r="B269" s="3" t="s">
        <v>84</v>
      </c>
      <c r="C269" s="3" t="s">
        <v>605</v>
      </c>
      <c r="D269" s="3"/>
      <c r="E269" s="3" t="s">
        <v>633</v>
      </c>
      <c r="F269" s="3" t="s">
        <v>636</v>
      </c>
      <c r="G269" s="3" t="s">
        <v>637</v>
      </c>
      <c r="H269" s="11">
        <v>2333</v>
      </c>
      <c r="I269" s="11"/>
      <c r="J269" s="3"/>
      <c r="K269" s="3"/>
      <c r="L269" s="3"/>
      <c r="M269" s="3"/>
      <c r="N269" s="4">
        <f t="shared" si="11"/>
        <v>-100</v>
      </c>
    </row>
    <row r="270" spans="1:14" ht="39" customHeight="1" x14ac:dyDescent="0.25">
      <c r="A270" t="str">
        <f t="shared" si="10"/>
        <v>0422000408513600</v>
      </c>
      <c r="B270" s="3" t="s">
        <v>84</v>
      </c>
      <c r="C270" s="3" t="s">
        <v>605</v>
      </c>
      <c r="D270" s="3"/>
      <c r="E270" s="3" t="s">
        <v>638</v>
      </c>
      <c r="F270" s="3" t="s">
        <v>22</v>
      </c>
      <c r="G270" s="3" t="s">
        <v>639</v>
      </c>
      <c r="H270" s="11">
        <v>14000</v>
      </c>
      <c r="I270" s="11"/>
      <c r="J270" s="3"/>
      <c r="K270" s="3"/>
      <c r="L270" s="3"/>
      <c r="M270" s="3"/>
      <c r="N270" s="4">
        <f t="shared" si="11"/>
        <v>-100</v>
      </c>
    </row>
    <row r="271" spans="1:14" ht="39" customHeight="1" x14ac:dyDescent="0.25">
      <c r="A271" t="str">
        <f t="shared" si="10"/>
        <v>042600034331000</v>
      </c>
      <c r="B271" s="3" t="s">
        <v>84</v>
      </c>
      <c r="C271" s="3" t="s">
        <v>605</v>
      </c>
      <c r="D271" s="3"/>
      <c r="E271" s="3" t="s">
        <v>640</v>
      </c>
      <c r="F271" s="3" t="s">
        <v>22</v>
      </c>
      <c r="G271" s="3" t="s">
        <v>641</v>
      </c>
      <c r="H271" s="11">
        <v>18000</v>
      </c>
      <c r="I271" s="11"/>
      <c r="J271" s="3"/>
      <c r="K271" s="3"/>
      <c r="L271" s="3"/>
      <c r="M271" s="3"/>
      <c r="N271" s="4">
        <f t="shared" si="11"/>
        <v>-100</v>
      </c>
    </row>
    <row r="272" spans="1:14" ht="39" customHeight="1" x14ac:dyDescent="0.25">
      <c r="A272" t="str">
        <f t="shared" si="10"/>
        <v>042600038952700</v>
      </c>
      <c r="B272" s="3" t="s">
        <v>84</v>
      </c>
      <c r="C272" s="3" t="s">
        <v>605</v>
      </c>
      <c r="D272" s="3"/>
      <c r="E272" s="3" t="s">
        <v>642</v>
      </c>
      <c r="F272" s="3" t="s">
        <v>22</v>
      </c>
      <c r="G272" s="3" t="s">
        <v>643</v>
      </c>
      <c r="H272" s="11">
        <v>3200</v>
      </c>
      <c r="I272" s="11"/>
      <c r="J272" s="3"/>
      <c r="K272" s="3"/>
      <c r="L272" s="3"/>
      <c r="M272" s="3"/>
      <c r="N272" s="4">
        <f t="shared" si="11"/>
        <v>-100</v>
      </c>
    </row>
    <row r="273" spans="1:14" ht="39" customHeight="1" x14ac:dyDescent="0.25">
      <c r="A273" t="str">
        <f t="shared" si="10"/>
        <v>042600039221000</v>
      </c>
      <c r="B273" s="3" t="s">
        <v>84</v>
      </c>
      <c r="C273" s="3" t="s">
        <v>644</v>
      </c>
      <c r="D273" s="3" t="s">
        <v>645</v>
      </c>
      <c r="E273" s="3" t="s">
        <v>646</v>
      </c>
      <c r="F273" s="3" t="s">
        <v>72</v>
      </c>
      <c r="G273" s="3" t="s">
        <v>647</v>
      </c>
      <c r="H273" s="11">
        <v>4999.92</v>
      </c>
      <c r="I273" s="11"/>
      <c r="J273" s="3"/>
      <c r="K273" s="3"/>
      <c r="L273" s="3"/>
      <c r="M273" s="3"/>
      <c r="N273" s="4">
        <f t="shared" si="11"/>
        <v>-100</v>
      </c>
    </row>
    <row r="274" spans="1:14" ht="39" customHeight="1" x14ac:dyDescent="0.25">
      <c r="A274" t="str">
        <f t="shared" si="10"/>
        <v>042600039292600</v>
      </c>
      <c r="B274" s="3" t="s">
        <v>84</v>
      </c>
      <c r="C274" s="3" t="s">
        <v>644</v>
      </c>
      <c r="D274" s="3"/>
      <c r="E274" s="3" t="s">
        <v>648</v>
      </c>
      <c r="F274" s="3" t="s">
        <v>33</v>
      </c>
      <c r="G274" s="3" t="s">
        <v>649</v>
      </c>
      <c r="H274" s="11">
        <v>4000</v>
      </c>
      <c r="I274" s="11"/>
      <c r="J274" s="3"/>
      <c r="K274" s="3"/>
      <c r="L274" s="3"/>
      <c r="M274" s="3"/>
      <c r="N274" s="4">
        <f t="shared" si="11"/>
        <v>-100</v>
      </c>
    </row>
    <row r="275" spans="1:14" ht="39" customHeight="1" x14ac:dyDescent="0.25">
      <c r="A275" t="str">
        <f t="shared" si="10"/>
        <v>0426000393618000</v>
      </c>
      <c r="B275" s="3" t="s">
        <v>84</v>
      </c>
      <c r="C275" s="3" t="s">
        <v>644</v>
      </c>
      <c r="D275" s="3"/>
      <c r="E275" s="3" t="s">
        <v>650</v>
      </c>
      <c r="F275" s="3" t="s">
        <v>25</v>
      </c>
      <c r="G275" s="3" t="s">
        <v>651</v>
      </c>
      <c r="H275" s="11">
        <v>52000</v>
      </c>
      <c r="I275" s="11"/>
      <c r="J275" s="3"/>
      <c r="K275" s="3"/>
      <c r="L275" s="3"/>
      <c r="M275" s="3"/>
      <c r="N275" s="4">
        <f t="shared" si="11"/>
        <v>-100</v>
      </c>
    </row>
    <row r="276" spans="1:14" ht="39" customHeight="1" x14ac:dyDescent="0.25">
      <c r="A276" t="str">
        <f t="shared" si="10"/>
        <v>042600039401500</v>
      </c>
      <c r="B276" s="3" t="s">
        <v>84</v>
      </c>
      <c r="C276" s="3" t="s">
        <v>644</v>
      </c>
      <c r="D276" s="3" t="s">
        <v>652</v>
      </c>
      <c r="E276" s="3" t="s">
        <v>653</v>
      </c>
      <c r="F276" s="3" t="s">
        <v>23</v>
      </c>
      <c r="G276" s="3" t="s">
        <v>654</v>
      </c>
      <c r="H276" s="11">
        <v>3599.87</v>
      </c>
      <c r="I276" s="11"/>
      <c r="J276" s="3"/>
      <c r="K276" s="3"/>
      <c r="L276" s="3"/>
      <c r="M276" s="3"/>
      <c r="N276" s="4">
        <f t="shared" si="11"/>
        <v>-100</v>
      </c>
    </row>
    <row r="277" spans="1:14" ht="39" customHeight="1" x14ac:dyDescent="0.25">
      <c r="A277" t="str">
        <f t="shared" si="10"/>
        <v>0426000396610000</v>
      </c>
      <c r="B277" s="3" t="s">
        <v>84</v>
      </c>
      <c r="C277" s="3" t="s">
        <v>644</v>
      </c>
      <c r="D277" s="3" t="s">
        <v>655</v>
      </c>
      <c r="E277" s="3" t="s">
        <v>656</v>
      </c>
      <c r="F277" s="3" t="s">
        <v>25</v>
      </c>
      <c r="G277" s="3" t="s">
        <v>657</v>
      </c>
      <c r="H277" s="11">
        <v>5999.45</v>
      </c>
      <c r="I277" s="11"/>
      <c r="J277" s="3"/>
      <c r="K277" s="3"/>
      <c r="L277" s="3"/>
      <c r="M277" s="3"/>
      <c r="N277" s="4">
        <f t="shared" si="11"/>
        <v>-100</v>
      </c>
    </row>
    <row r="278" spans="1:14" ht="39" customHeight="1" x14ac:dyDescent="0.25">
      <c r="A278" t="str">
        <f t="shared" si="10"/>
        <v>044100051754500</v>
      </c>
      <c r="B278" s="3" t="s">
        <v>84</v>
      </c>
      <c r="C278" s="3" t="s">
        <v>644</v>
      </c>
      <c r="D278" s="3"/>
      <c r="E278" s="3" t="s">
        <v>658</v>
      </c>
      <c r="F278" s="3" t="s">
        <v>22</v>
      </c>
      <c r="G278" s="3" t="s">
        <v>659</v>
      </c>
      <c r="H278" s="11">
        <v>2000</v>
      </c>
      <c r="I278" s="11"/>
      <c r="J278" s="3"/>
      <c r="K278" s="3"/>
      <c r="L278" s="3"/>
      <c r="M278" s="3"/>
      <c r="N278" s="4">
        <f t="shared" si="11"/>
        <v>-100</v>
      </c>
    </row>
    <row r="279" spans="1:14" ht="39" customHeight="1" x14ac:dyDescent="0.25">
      <c r="A279" t="str">
        <f t="shared" si="10"/>
        <v>044100052171600</v>
      </c>
      <c r="B279" s="3" t="s">
        <v>84</v>
      </c>
      <c r="C279" s="3" t="s">
        <v>644</v>
      </c>
      <c r="D279" s="3"/>
      <c r="E279" s="3" t="s">
        <v>660</v>
      </c>
      <c r="F279" s="3" t="s">
        <v>22</v>
      </c>
      <c r="G279" s="3" t="s">
        <v>661</v>
      </c>
      <c r="H279" s="11">
        <v>35000</v>
      </c>
      <c r="I279" s="11"/>
      <c r="J279" s="3"/>
      <c r="K279" s="3"/>
      <c r="L279" s="3"/>
      <c r="M279" s="3"/>
      <c r="N279" s="4">
        <f t="shared" si="11"/>
        <v>-100</v>
      </c>
    </row>
    <row r="280" spans="1:14" ht="39" customHeight="1" x14ac:dyDescent="0.25">
      <c r="A280" t="str">
        <f t="shared" si="10"/>
        <v>044100052171500</v>
      </c>
      <c r="B280" s="3" t="s">
        <v>84</v>
      </c>
      <c r="C280" s="3" t="s">
        <v>644</v>
      </c>
      <c r="D280" s="3"/>
      <c r="E280" s="3" t="s">
        <v>662</v>
      </c>
      <c r="F280" s="3" t="s">
        <v>36</v>
      </c>
      <c r="G280" s="3" t="s">
        <v>663</v>
      </c>
      <c r="H280" s="11">
        <v>300</v>
      </c>
      <c r="I280" s="11"/>
      <c r="J280" s="3"/>
      <c r="K280" s="3"/>
      <c r="L280" s="3"/>
      <c r="M280" s="3"/>
      <c r="N280" s="4">
        <f t="shared" si="11"/>
        <v>-100</v>
      </c>
    </row>
    <row r="281" spans="1:14" ht="39" customHeight="1" x14ac:dyDescent="0.25">
      <c r="A281" t="str">
        <f t="shared" si="10"/>
        <v>044100052712500</v>
      </c>
      <c r="B281" s="3" t="s">
        <v>84</v>
      </c>
      <c r="C281" s="3" t="s">
        <v>644</v>
      </c>
      <c r="D281" s="3"/>
      <c r="E281" s="3" t="s">
        <v>664</v>
      </c>
      <c r="F281" s="3" t="s">
        <v>22</v>
      </c>
      <c r="G281" s="3" t="s">
        <v>665</v>
      </c>
      <c r="H281" s="11">
        <v>1900</v>
      </c>
      <c r="I281" s="11"/>
      <c r="J281" s="3"/>
      <c r="K281" s="3"/>
      <c r="L281" s="3"/>
      <c r="M281" s="3"/>
      <c r="N281" s="4">
        <f t="shared" si="11"/>
        <v>-100</v>
      </c>
    </row>
    <row r="282" spans="1:14" ht="39" customHeight="1" x14ac:dyDescent="0.25">
      <c r="A282" t="str">
        <f t="shared" si="10"/>
        <v>044100053001500</v>
      </c>
      <c r="B282" s="3" t="s">
        <v>84</v>
      </c>
      <c r="C282" s="3" t="s">
        <v>644</v>
      </c>
      <c r="D282" s="3"/>
      <c r="E282" s="3" t="s">
        <v>666</v>
      </c>
      <c r="F282" s="3" t="s">
        <v>22</v>
      </c>
      <c r="G282" s="3" t="s">
        <v>667</v>
      </c>
      <c r="H282" s="11">
        <v>2600</v>
      </c>
      <c r="I282" s="11"/>
      <c r="J282" s="3"/>
      <c r="K282" s="3"/>
      <c r="L282" s="3"/>
      <c r="M282" s="3"/>
      <c r="N282" s="4">
        <f t="shared" si="11"/>
        <v>-100</v>
      </c>
    </row>
    <row r="283" spans="1:14" ht="39" customHeight="1" x14ac:dyDescent="0.25">
      <c r="A283" t="str">
        <f t="shared" si="10"/>
        <v>044100053086600</v>
      </c>
      <c r="B283" s="3" t="s">
        <v>84</v>
      </c>
      <c r="C283" s="3" t="s">
        <v>644</v>
      </c>
      <c r="D283" s="3"/>
      <c r="E283" s="3" t="s">
        <v>668</v>
      </c>
      <c r="F283" s="3" t="s">
        <v>22</v>
      </c>
      <c r="G283" s="3" t="s">
        <v>669</v>
      </c>
      <c r="H283" s="11">
        <v>4000</v>
      </c>
      <c r="I283" s="11"/>
      <c r="J283" s="3"/>
      <c r="K283" s="3"/>
      <c r="L283" s="3"/>
      <c r="M283" s="3"/>
      <c r="N283" s="4">
        <f t="shared" si="11"/>
        <v>-100</v>
      </c>
    </row>
    <row r="284" spans="1:14" ht="39" customHeight="1" x14ac:dyDescent="0.25">
      <c r="A284" t="str">
        <f t="shared" si="10"/>
        <v>044100055178500</v>
      </c>
      <c r="B284" s="3" t="s">
        <v>84</v>
      </c>
      <c r="C284" s="3" t="s">
        <v>644</v>
      </c>
      <c r="D284" s="3"/>
      <c r="E284" s="3" t="s">
        <v>670</v>
      </c>
      <c r="F284" s="3" t="s">
        <v>22</v>
      </c>
      <c r="G284" s="3" t="s">
        <v>671</v>
      </c>
      <c r="H284" s="11">
        <v>4500</v>
      </c>
      <c r="I284" s="11"/>
      <c r="J284" s="3"/>
      <c r="K284" s="3"/>
      <c r="L284" s="3"/>
      <c r="M284" s="3"/>
      <c r="N284" s="4">
        <f t="shared" si="11"/>
        <v>-100</v>
      </c>
    </row>
    <row r="285" spans="1:14" ht="39" customHeight="1" x14ac:dyDescent="0.25">
      <c r="A285" t="str">
        <f t="shared" si="10"/>
        <v>0441000557110500</v>
      </c>
      <c r="B285" s="3" t="s">
        <v>84</v>
      </c>
      <c r="C285" s="3" t="s">
        <v>644</v>
      </c>
      <c r="D285" s="3"/>
      <c r="E285" s="3" t="s">
        <v>672</v>
      </c>
      <c r="F285" s="3" t="s">
        <v>22</v>
      </c>
      <c r="G285" s="3" t="s">
        <v>673</v>
      </c>
      <c r="H285" s="11">
        <v>2300</v>
      </c>
      <c r="I285" s="11"/>
      <c r="J285" s="3"/>
      <c r="K285" s="3"/>
      <c r="L285" s="3"/>
      <c r="M285" s="3"/>
      <c r="N285" s="4">
        <f t="shared" si="11"/>
        <v>-100</v>
      </c>
    </row>
    <row r="286" spans="1:14" ht="39" customHeight="1" x14ac:dyDescent="0.25">
      <c r="A286" t="str">
        <f t="shared" si="10"/>
        <v>0441000558453000</v>
      </c>
      <c r="B286" s="3" t="s">
        <v>84</v>
      </c>
      <c r="C286" s="3" t="s">
        <v>674</v>
      </c>
      <c r="D286" s="3"/>
      <c r="E286" s="3" t="s">
        <v>675</v>
      </c>
      <c r="F286" s="3" t="s">
        <v>23</v>
      </c>
      <c r="G286" s="3" t="s">
        <v>676</v>
      </c>
      <c r="H286" s="11">
        <v>8000</v>
      </c>
      <c r="I286" s="11"/>
      <c r="J286" s="3"/>
      <c r="K286" s="3"/>
      <c r="L286" s="3"/>
      <c r="M286" s="3"/>
      <c r="N286" s="4">
        <f t="shared" si="11"/>
        <v>-100</v>
      </c>
    </row>
    <row r="287" spans="1:14" ht="39" customHeight="1" x14ac:dyDescent="0.25">
      <c r="A287" t="str">
        <f t="shared" ref="A287:A350" si="12">E249&amp;H249</f>
        <v>044500029911500</v>
      </c>
      <c r="B287" s="3" t="s">
        <v>84</v>
      </c>
      <c r="C287" s="3" t="s">
        <v>674</v>
      </c>
      <c r="D287" s="3"/>
      <c r="E287" s="3" t="s">
        <v>677</v>
      </c>
      <c r="F287" s="3" t="s">
        <v>22</v>
      </c>
      <c r="G287" s="3" t="s">
        <v>678</v>
      </c>
      <c r="H287" s="11">
        <v>30000</v>
      </c>
      <c r="I287" s="11"/>
      <c r="J287" s="3"/>
      <c r="K287" s="3"/>
      <c r="L287" s="3"/>
      <c r="M287" s="3"/>
      <c r="N287" s="4">
        <f t="shared" si="11"/>
        <v>-100</v>
      </c>
    </row>
    <row r="288" spans="1:14" ht="39" customHeight="1" x14ac:dyDescent="0.25">
      <c r="A288" t="str">
        <f t="shared" si="12"/>
        <v>044500030727500</v>
      </c>
      <c r="B288" s="3" t="s">
        <v>84</v>
      </c>
      <c r="C288" s="3" t="s">
        <v>674</v>
      </c>
      <c r="D288" s="3"/>
      <c r="E288" s="3" t="s">
        <v>679</v>
      </c>
      <c r="F288" s="3" t="s">
        <v>16</v>
      </c>
      <c r="G288" s="3" t="s">
        <v>680</v>
      </c>
      <c r="H288" s="11">
        <v>28000</v>
      </c>
      <c r="I288" s="11"/>
      <c r="J288" s="3"/>
      <c r="K288" s="3"/>
      <c r="L288" s="3"/>
      <c r="M288" s="3"/>
      <c r="N288" s="4">
        <f t="shared" si="11"/>
        <v>-100</v>
      </c>
    </row>
    <row r="289" spans="1:14" ht="39" customHeight="1" x14ac:dyDescent="0.25">
      <c r="A289" t="str">
        <f t="shared" si="12"/>
        <v>044500030953500</v>
      </c>
      <c r="B289" s="3" t="s">
        <v>84</v>
      </c>
      <c r="C289" s="3" t="s">
        <v>674</v>
      </c>
      <c r="D289" s="3"/>
      <c r="E289" s="3" t="s">
        <v>681</v>
      </c>
      <c r="F289" s="3" t="s">
        <v>22</v>
      </c>
      <c r="G289" s="3" t="s">
        <v>682</v>
      </c>
      <c r="H289" s="11">
        <v>3000</v>
      </c>
      <c r="I289" s="11"/>
      <c r="J289" s="3"/>
      <c r="K289" s="3"/>
      <c r="L289" s="3"/>
      <c r="M289" s="3"/>
      <c r="N289" s="4">
        <f t="shared" si="11"/>
        <v>-100</v>
      </c>
    </row>
    <row r="290" spans="1:14" ht="39" customHeight="1" x14ac:dyDescent="0.25">
      <c r="A290" t="str">
        <f t="shared" si="12"/>
        <v>044500031125000</v>
      </c>
      <c r="B290" s="3" t="s">
        <v>84</v>
      </c>
      <c r="C290" s="3" t="s">
        <v>674</v>
      </c>
      <c r="D290" s="3"/>
      <c r="E290" s="3" t="s">
        <v>683</v>
      </c>
      <c r="F290" s="3" t="s">
        <v>20</v>
      </c>
      <c r="G290" s="3" t="s">
        <v>684</v>
      </c>
      <c r="H290" s="11">
        <v>7000</v>
      </c>
      <c r="I290" s="11"/>
      <c r="J290" s="3"/>
      <c r="K290" s="3"/>
      <c r="L290" s="3"/>
      <c r="M290" s="3"/>
      <c r="N290" s="4">
        <f t="shared" si="11"/>
        <v>-100</v>
      </c>
    </row>
    <row r="291" spans="1:14" ht="39" customHeight="1" x14ac:dyDescent="0.25">
      <c r="A291" t="str">
        <f t="shared" si="12"/>
        <v>046500029732000</v>
      </c>
      <c r="B291" s="3" t="s">
        <v>84</v>
      </c>
      <c r="C291" s="3" t="s">
        <v>674</v>
      </c>
      <c r="D291" s="3"/>
      <c r="E291" s="3" t="s">
        <v>685</v>
      </c>
      <c r="F291" s="3" t="s">
        <v>22</v>
      </c>
      <c r="G291" s="3" t="s">
        <v>686</v>
      </c>
      <c r="H291" s="11">
        <v>15000</v>
      </c>
      <c r="I291" s="11"/>
      <c r="J291" s="3"/>
      <c r="K291" s="3"/>
      <c r="L291" s="3"/>
      <c r="M291" s="3"/>
      <c r="N291" s="4">
        <f t="shared" si="11"/>
        <v>-100</v>
      </c>
    </row>
    <row r="292" spans="1:14" ht="39" customHeight="1" x14ac:dyDescent="0.25">
      <c r="A292" t="str">
        <f t="shared" si="12"/>
        <v>046500031628000</v>
      </c>
      <c r="B292" s="3" t="s">
        <v>84</v>
      </c>
      <c r="C292" s="3" t="s">
        <v>674</v>
      </c>
      <c r="D292" s="3"/>
      <c r="E292" s="3" t="s">
        <v>687</v>
      </c>
      <c r="F292" s="3" t="s">
        <v>25</v>
      </c>
      <c r="G292" s="3" t="s">
        <v>688</v>
      </c>
      <c r="H292" s="11">
        <v>25000</v>
      </c>
      <c r="I292" s="11"/>
      <c r="J292" s="3"/>
      <c r="K292" s="3"/>
      <c r="L292" s="3"/>
      <c r="M292" s="3"/>
      <c r="N292" s="4">
        <f t="shared" si="11"/>
        <v>-100</v>
      </c>
    </row>
    <row r="293" spans="1:14" ht="39" customHeight="1" x14ac:dyDescent="0.25">
      <c r="A293" t="str">
        <f t="shared" si="12"/>
        <v>0465000326219000</v>
      </c>
      <c r="B293" s="3" t="s">
        <v>84</v>
      </c>
      <c r="C293" s="3" t="s">
        <v>674</v>
      </c>
      <c r="D293" s="3"/>
      <c r="E293" s="3" t="s">
        <v>689</v>
      </c>
      <c r="F293" s="3" t="s">
        <v>25</v>
      </c>
      <c r="G293" s="3" t="s">
        <v>690</v>
      </c>
      <c r="H293" s="11">
        <v>30000</v>
      </c>
      <c r="I293" s="11"/>
      <c r="J293" s="3"/>
      <c r="K293" s="3"/>
      <c r="L293" s="3"/>
      <c r="M293" s="3"/>
      <c r="N293" s="4">
        <f t="shared" si="11"/>
        <v>-100</v>
      </c>
    </row>
    <row r="294" spans="1:14" ht="39" customHeight="1" x14ac:dyDescent="0.25">
      <c r="A294" t="str">
        <f t="shared" si="12"/>
        <v>046500033083000</v>
      </c>
      <c r="B294" s="3" t="s">
        <v>84</v>
      </c>
      <c r="C294" s="3" t="s">
        <v>674</v>
      </c>
      <c r="D294" s="3"/>
      <c r="E294" s="3" t="s">
        <v>691</v>
      </c>
      <c r="F294" s="3" t="s">
        <v>22</v>
      </c>
      <c r="G294" s="3" t="s">
        <v>692</v>
      </c>
      <c r="H294" s="11">
        <v>1500</v>
      </c>
      <c r="I294" s="11"/>
      <c r="J294" s="3"/>
      <c r="K294" s="3"/>
      <c r="L294" s="3"/>
      <c r="M294" s="3"/>
      <c r="N294" s="4">
        <f t="shared" si="11"/>
        <v>-100</v>
      </c>
    </row>
    <row r="295" spans="1:14" ht="39" customHeight="1" x14ac:dyDescent="0.25">
      <c r="A295" t="str">
        <f t="shared" si="12"/>
        <v>046500033081800</v>
      </c>
      <c r="B295" s="3" t="s">
        <v>84</v>
      </c>
      <c r="C295" s="3" t="s">
        <v>674</v>
      </c>
      <c r="D295" s="3"/>
      <c r="E295" s="3" t="s">
        <v>693</v>
      </c>
      <c r="F295" s="3" t="s">
        <v>16</v>
      </c>
      <c r="G295" s="3" t="s">
        <v>694</v>
      </c>
      <c r="H295" s="11">
        <v>10000</v>
      </c>
      <c r="I295" s="11"/>
      <c r="J295" s="3"/>
      <c r="K295" s="3"/>
      <c r="L295" s="3"/>
      <c r="M295" s="3"/>
      <c r="N295" s="4">
        <f t="shared" si="11"/>
        <v>-100</v>
      </c>
    </row>
    <row r="296" spans="1:14" ht="39" customHeight="1" x14ac:dyDescent="0.25">
      <c r="A296" t="str">
        <f t="shared" si="12"/>
        <v>046500034132500</v>
      </c>
      <c r="B296" s="3" t="s">
        <v>84</v>
      </c>
      <c r="C296" s="3" t="s">
        <v>674</v>
      </c>
      <c r="D296" s="3"/>
      <c r="E296" s="3" t="s">
        <v>695</v>
      </c>
      <c r="F296" s="3" t="s">
        <v>22</v>
      </c>
      <c r="G296" s="3" t="s">
        <v>696</v>
      </c>
      <c r="H296" s="11">
        <v>25000</v>
      </c>
      <c r="I296" s="11"/>
      <c r="J296" s="3"/>
      <c r="K296" s="3"/>
      <c r="L296" s="3"/>
      <c r="M296" s="3"/>
      <c r="N296" s="4">
        <f t="shared" si="11"/>
        <v>-100</v>
      </c>
    </row>
    <row r="297" spans="1:14" ht="39" customHeight="1" x14ac:dyDescent="0.25">
      <c r="A297" t="str">
        <f t="shared" si="12"/>
        <v>046500034276400</v>
      </c>
      <c r="B297" s="3" t="s">
        <v>84</v>
      </c>
      <c r="C297" s="3" t="s">
        <v>674</v>
      </c>
      <c r="D297" s="3"/>
      <c r="E297" s="3" t="s">
        <v>697</v>
      </c>
      <c r="F297" s="3" t="s">
        <v>22</v>
      </c>
      <c r="G297" s="3" t="s">
        <v>698</v>
      </c>
      <c r="H297" s="11">
        <v>15500</v>
      </c>
      <c r="I297" s="11"/>
      <c r="J297" s="3"/>
      <c r="K297" s="3"/>
      <c r="L297" s="3"/>
      <c r="M297" s="3"/>
      <c r="N297" s="4">
        <f t="shared" si="11"/>
        <v>-100</v>
      </c>
    </row>
    <row r="298" spans="1:14" ht="39" customHeight="1" x14ac:dyDescent="0.25">
      <c r="A298" t="str">
        <f t="shared" si="12"/>
        <v>046500034391091</v>
      </c>
      <c r="B298" s="3" t="s">
        <v>84</v>
      </c>
      <c r="C298" s="3" t="s">
        <v>674</v>
      </c>
      <c r="D298" s="3"/>
      <c r="E298" s="3" t="s">
        <v>699</v>
      </c>
      <c r="F298" s="3" t="s">
        <v>22</v>
      </c>
      <c r="G298" s="3" t="s">
        <v>700</v>
      </c>
      <c r="H298" s="11">
        <v>3000</v>
      </c>
      <c r="I298" s="11"/>
      <c r="J298" s="3"/>
      <c r="K298" s="3"/>
      <c r="L298" s="3"/>
      <c r="M298" s="3"/>
      <c r="N298" s="4">
        <f t="shared" si="11"/>
        <v>-100</v>
      </c>
    </row>
    <row r="299" spans="1:14" ht="39" customHeight="1" x14ac:dyDescent="0.25">
      <c r="A299" t="str">
        <f t="shared" si="12"/>
        <v>04650003439909</v>
      </c>
      <c r="B299" s="3" t="s">
        <v>84</v>
      </c>
      <c r="C299" s="3" t="s">
        <v>701</v>
      </c>
      <c r="D299" s="3" t="s">
        <v>702</v>
      </c>
      <c r="E299" s="3" t="s">
        <v>703</v>
      </c>
      <c r="F299" s="3" t="s">
        <v>74</v>
      </c>
      <c r="G299" s="3" t="s">
        <v>704</v>
      </c>
      <c r="H299" s="11">
        <v>15000</v>
      </c>
      <c r="I299" s="11"/>
      <c r="J299" s="3"/>
      <c r="K299" s="3"/>
      <c r="L299" s="3"/>
      <c r="M299" s="3"/>
      <c r="N299" s="4">
        <f t="shared" si="11"/>
        <v>-100</v>
      </c>
    </row>
    <row r="300" spans="1:14" ht="39" customHeight="1" x14ac:dyDescent="0.25">
      <c r="A300" t="str">
        <f t="shared" si="12"/>
        <v>046500034392000</v>
      </c>
      <c r="B300" s="3" t="s">
        <v>84</v>
      </c>
      <c r="C300" s="3" t="s">
        <v>701</v>
      </c>
      <c r="D300" s="3" t="s">
        <v>702</v>
      </c>
      <c r="E300" s="3" t="s">
        <v>703</v>
      </c>
      <c r="F300" s="3" t="s">
        <v>705</v>
      </c>
      <c r="G300" s="3" t="s">
        <v>706</v>
      </c>
      <c r="H300" s="11">
        <v>2500</v>
      </c>
      <c r="I300" s="11"/>
      <c r="J300" s="3"/>
      <c r="K300" s="3"/>
      <c r="L300" s="3"/>
      <c r="M300" s="3"/>
      <c r="N300" s="4">
        <f t="shared" si="11"/>
        <v>-100</v>
      </c>
    </row>
    <row r="301" spans="1:14" ht="39" customHeight="1" x14ac:dyDescent="0.25">
      <c r="A301" t="str">
        <f t="shared" si="12"/>
        <v>0465000344728000</v>
      </c>
      <c r="B301" s="3" t="s">
        <v>84</v>
      </c>
      <c r="C301" s="3" t="s">
        <v>701</v>
      </c>
      <c r="D301" s="3"/>
      <c r="E301" s="3" t="s">
        <v>707</v>
      </c>
      <c r="F301" s="3" t="s">
        <v>58</v>
      </c>
      <c r="G301" s="3" t="s">
        <v>708</v>
      </c>
      <c r="H301" s="11">
        <v>4200</v>
      </c>
      <c r="I301" s="11"/>
      <c r="J301" s="3"/>
      <c r="K301" s="3"/>
      <c r="L301" s="3"/>
      <c r="M301" s="3"/>
      <c r="N301" s="4">
        <f t="shared" si="11"/>
        <v>-100</v>
      </c>
    </row>
    <row r="302" spans="1:14" ht="39" customHeight="1" x14ac:dyDescent="0.25">
      <c r="A302" t="str">
        <f t="shared" si="12"/>
        <v>046500034522100</v>
      </c>
      <c r="B302" s="3" t="s">
        <v>84</v>
      </c>
      <c r="C302" s="3" t="s">
        <v>701</v>
      </c>
      <c r="D302" s="3"/>
      <c r="E302" s="3" t="s">
        <v>709</v>
      </c>
      <c r="F302" s="3" t="s">
        <v>74</v>
      </c>
      <c r="G302" s="3" t="s">
        <v>710</v>
      </c>
      <c r="H302" s="11">
        <v>9000</v>
      </c>
      <c r="I302" s="11"/>
      <c r="J302" s="3"/>
      <c r="K302" s="3"/>
      <c r="L302" s="3"/>
      <c r="M302" s="3"/>
      <c r="N302" s="4">
        <f t="shared" si="11"/>
        <v>-100</v>
      </c>
    </row>
    <row r="303" spans="1:14" ht="39" customHeight="1" x14ac:dyDescent="0.25">
      <c r="A303" t="str">
        <f t="shared" si="12"/>
        <v>0465000346245000</v>
      </c>
      <c r="B303" s="3" t="s">
        <v>84</v>
      </c>
      <c r="C303" s="3" t="s">
        <v>701</v>
      </c>
      <c r="D303" s="3"/>
      <c r="E303" s="3" t="s">
        <v>709</v>
      </c>
      <c r="F303" s="3" t="s">
        <v>74</v>
      </c>
      <c r="G303" s="3" t="s">
        <v>711</v>
      </c>
      <c r="H303" s="11">
        <v>9000</v>
      </c>
      <c r="I303" s="11"/>
      <c r="J303" s="3"/>
      <c r="K303" s="3"/>
      <c r="L303" s="3"/>
      <c r="M303" s="3"/>
      <c r="N303" s="4">
        <f t="shared" si="11"/>
        <v>-100</v>
      </c>
    </row>
    <row r="304" spans="1:14" ht="39" customHeight="1" x14ac:dyDescent="0.25">
      <c r="A304" t="str">
        <f t="shared" si="12"/>
        <v>046500034675000</v>
      </c>
      <c r="B304" s="3" t="s">
        <v>84</v>
      </c>
      <c r="C304" s="3" t="s">
        <v>701</v>
      </c>
      <c r="D304" s="3"/>
      <c r="E304" s="3" t="s">
        <v>712</v>
      </c>
      <c r="F304" s="3" t="s">
        <v>14</v>
      </c>
      <c r="G304" s="3" t="s">
        <v>713</v>
      </c>
      <c r="H304" s="11">
        <v>8000</v>
      </c>
      <c r="I304" s="11"/>
      <c r="J304" s="3"/>
      <c r="K304" s="3"/>
      <c r="L304" s="3"/>
      <c r="M304" s="3"/>
      <c r="N304" s="4">
        <f t="shared" si="11"/>
        <v>-100</v>
      </c>
    </row>
    <row r="305" spans="1:14" ht="39" customHeight="1" x14ac:dyDescent="0.25">
      <c r="A305" t="str">
        <f t="shared" si="12"/>
        <v>046500034752000</v>
      </c>
      <c r="B305" s="3" t="s">
        <v>84</v>
      </c>
      <c r="C305" s="3" t="s">
        <v>701</v>
      </c>
      <c r="D305" s="3"/>
      <c r="E305" s="3" t="s">
        <v>714</v>
      </c>
      <c r="F305" s="3" t="s">
        <v>30</v>
      </c>
      <c r="G305" s="3" t="s">
        <v>715</v>
      </c>
      <c r="H305" s="11">
        <v>10000</v>
      </c>
      <c r="I305" s="11"/>
      <c r="J305" s="3"/>
      <c r="K305" s="3"/>
      <c r="L305" s="3"/>
      <c r="M305" s="3"/>
      <c r="N305" s="4">
        <f t="shared" si="11"/>
        <v>-100</v>
      </c>
    </row>
    <row r="306" spans="1:14" ht="39" customHeight="1" x14ac:dyDescent="0.25">
      <c r="A306" t="str">
        <f t="shared" si="12"/>
        <v>04650003477467</v>
      </c>
      <c r="B306" s="3" t="s">
        <v>84</v>
      </c>
      <c r="C306" s="3" t="s">
        <v>701</v>
      </c>
      <c r="D306" s="3"/>
      <c r="E306" s="3" t="s">
        <v>716</v>
      </c>
      <c r="F306" s="3" t="s">
        <v>38</v>
      </c>
      <c r="G306" s="3" t="s">
        <v>717</v>
      </c>
      <c r="H306" s="11">
        <v>23000</v>
      </c>
      <c r="I306" s="11"/>
      <c r="J306" s="3"/>
      <c r="K306" s="3"/>
      <c r="L306" s="3"/>
      <c r="M306" s="3"/>
      <c r="N306" s="4">
        <f t="shared" si="11"/>
        <v>-100</v>
      </c>
    </row>
    <row r="307" spans="1:14" ht="39" customHeight="1" x14ac:dyDescent="0.25">
      <c r="A307" t="str">
        <f t="shared" si="12"/>
        <v>046500034772333</v>
      </c>
      <c r="B307" s="3" t="s">
        <v>84</v>
      </c>
      <c r="C307" s="3" t="s">
        <v>701</v>
      </c>
      <c r="D307" s="3"/>
      <c r="E307" s="3" t="s">
        <v>718</v>
      </c>
      <c r="F307" s="3" t="s">
        <v>39</v>
      </c>
      <c r="G307" s="3" t="s">
        <v>719</v>
      </c>
      <c r="H307" s="11">
        <v>4200</v>
      </c>
      <c r="I307" s="11"/>
      <c r="J307" s="3"/>
      <c r="K307" s="3"/>
      <c r="L307" s="3"/>
      <c r="M307" s="3"/>
      <c r="N307" s="4">
        <f t="shared" si="11"/>
        <v>-100</v>
      </c>
    </row>
    <row r="308" spans="1:14" ht="39" customHeight="1" x14ac:dyDescent="0.25">
      <c r="A308" t="str">
        <f t="shared" si="12"/>
        <v>0465000358214000</v>
      </c>
      <c r="B308" s="3" t="s">
        <v>84</v>
      </c>
      <c r="C308" s="3" t="s">
        <v>701</v>
      </c>
      <c r="D308" s="3"/>
      <c r="E308" s="3" t="s">
        <v>720</v>
      </c>
      <c r="F308" s="3" t="s">
        <v>23</v>
      </c>
      <c r="G308" s="3" t="s">
        <v>721</v>
      </c>
      <c r="H308" s="11">
        <v>3000</v>
      </c>
      <c r="I308" s="11"/>
      <c r="J308" s="3"/>
      <c r="K308" s="3"/>
      <c r="L308" s="3"/>
      <c r="M308" s="3"/>
      <c r="N308" s="4">
        <f t="shared" si="11"/>
        <v>-100</v>
      </c>
    </row>
    <row r="309" spans="1:14" ht="39" customHeight="1" x14ac:dyDescent="0.25">
      <c r="A309" t="str">
        <f t="shared" si="12"/>
        <v>0465000358518000</v>
      </c>
      <c r="B309" s="3" t="s">
        <v>84</v>
      </c>
      <c r="C309" s="3" t="s">
        <v>701</v>
      </c>
      <c r="D309" s="3"/>
      <c r="E309" s="3" t="s">
        <v>722</v>
      </c>
      <c r="F309" s="3" t="s">
        <v>32</v>
      </c>
      <c r="G309" s="3" t="s">
        <v>723</v>
      </c>
      <c r="H309" s="11">
        <v>1200</v>
      </c>
      <c r="I309" s="11"/>
      <c r="J309" s="3"/>
      <c r="K309" s="3"/>
      <c r="L309" s="3"/>
      <c r="M309" s="3"/>
      <c r="N309" s="4">
        <f t="shared" si="11"/>
        <v>-100</v>
      </c>
    </row>
    <row r="310" spans="1:14" ht="39" customHeight="1" x14ac:dyDescent="0.25">
      <c r="A310" t="str">
        <f t="shared" si="12"/>
        <v>046500036623200</v>
      </c>
      <c r="B310" s="3" t="s">
        <v>84</v>
      </c>
      <c r="C310" s="3" t="s">
        <v>701</v>
      </c>
      <c r="D310" s="3"/>
      <c r="E310" s="3" t="s">
        <v>724</v>
      </c>
      <c r="F310" s="3" t="s">
        <v>725</v>
      </c>
      <c r="G310" s="3" t="s">
        <v>726</v>
      </c>
      <c r="H310" s="11">
        <v>2500</v>
      </c>
      <c r="I310" s="11"/>
      <c r="J310" s="3"/>
      <c r="K310" s="3"/>
      <c r="L310" s="3"/>
      <c r="M310" s="3"/>
      <c r="N310" s="4">
        <f t="shared" si="11"/>
        <v>-100</v>
      </c>
    </row>
    <row r="311" spans="1:14" ht="39" customHeight="1" x14ac:dyDescent="0.25">
      <c r="A311" t="str">
        <f t="shared" si="12"/>
        <v>047400019424999,92</v>
      </c>
      <c r="B311" s="3" t="s">
        <v>84</v>
      </c>
      <c r="C311" s="3" t="s">
        <v>701</v>
      </c>
      <c r="D311" s="3"/>
      <c r="E311" s="3" t="s">
        <v>724</v>
      </c>
      <c r="F311" s="3" t="s">
        <v>725</v>
      </c>
      <c r="G311" s="3" t="s">
        <v>727</v>
      </c>
      <c r="H311" s="11">
        <v>2500</v>
      </c>
      <c r="I311" s="11"/>
      <c r="J311" s="3"/>
      <c r="K311" s="3"/>
      <c r="L311" s="3"/>
      <c r="M311" s="3"/>
      <c r="N311" s="4">
        <f t="shared" si="11"/>
        <v>-100</v>
      </c>
    </row>
    <row r="312" spans="1:14" ht="39" customHeight="1" x14ac:dyDescent="0.25">
      <c r="A312" t="str">
        <f t="shared" si="12"/>
        <v>047400040654000</v>
      </c>
      <c r="B312" s="3" t="s">
        <v>84</v>
      </c>
      <c r="C312" s="3" t="s">
        <v>701</v>
      </c>
      <c r="D312" s="3"/>
      <c r="E312" s="3" t="s">
        <v>728</v>
      </c>
      <c r="F312" s="3" t="s">
        <v>74</v>
      </c>
      <c r="G312" s="3" t="s">
        <v>729</v>
      </c>
      <c r="H312" s="11">
        <v>4000</v>
      </c>
      <c r="I312" s="11"/>
      <c r="J312" s="3"/>
      <c r="K312" s="3"/>
      <c r="L312" s="3"/>
      <c r="M312" s="3"/>
      <c r="N312" s="4">
        <f t="shared" si="11"/>
        <v>-100</v>
      </c>
    </row>
    <row r="313" spans="1:14" ht="39" customHeight="1" x14ac:dyDescent="0.25">
      <c r="A313" t="str">
        <f t="shared" si="12"/>
        <v>0474000425152000</v>
      </c>
      <c r="B313" s="3" t="s">
        <v>84</v>
      </c>
      <c r="C313" s="3" t="s">
        <v>701</v>
      </c>
      <c r="D313" s="3"/>
      <c r="E313" s="3" t="s">
        <v>730</v>
      </c>
      <c r="F313" s="3" t="s">
        <v>22</v>
      </c>
      <c r="G313" s="3" t="s">
        <v>731</v>
      </c>
      <c r="H313" s="11">
        <v>30000</v>
      </c>
      <c r="I313" s="11"/>
      <c r="J313" s="3"/>
      <c r="K313" s="3"/>
      <c r="L313" s="3"/>
      <c r="M313" s="3"/>
      <c r="N313" s="4">
        <f t="shared" ref="N313:N376" si="13">IFERROR(((I313*100)/H313)-100,"")</f>
        <v>-100</v>
      </c>
    </row>
    <row r="314" spans="1:14" ht="39" customHeight="1" x14ac:dyDescent="0.25">
      <c r="A314" t="str">
        <f t="shared" si="12"/>
        <v>047400044063599,87</v>
      </c>
      <c r="B314" s="3" t="s">
        <v>84</v>
      </c>
      <c r="C314" s="3" t="s">
        <v>701</v>
      </c>
      <c r="D314" s="3"/>
      <c r="E314" s="3" t="s">
        <v>732</v>
      </c>
      <c r="F314" s="3" t="s">
        <v>37</v>
      </c>
      <c r="G314" s="3" t="s">
        <v>733</v>
      </c>
      <c r="H314" s="11">
        <v>3000</v>
      </c>
      <c r="I314" s="11"/>
      <c r="J314" s="3"/>
      <c r="K314" s="3"/>
      <c r="L314" s="3"/>
      <c r="M314" s="3"/>
      <c r="N314" s="4">
        <f t="shared" si="13"/>
        <v>-100</v>
      </c>
    </row>
    <row r="315" spans="1:14" ht="39" customHeight="1" x14ac:dyDescent="0.25">
      <c r="A315" t="str">
        <f t="shared" si="12"/>
        <v>047400044085999,45</v>
      </c>
      <c r="B315" s="3" t="s">
        <v>84</v>
      </c>
      <c r="C315" s="3" t="s">
        <v>701</v>
      </c>
      <c r="D315" s="3"/>
      <c r="E315" s="3" t="s">
        <v>734</v>
      </c>
      <c r="F315" s="3" t="s">
        <v>22</v>
      </c>
      <c r="G315" s="3" t="s">
        <v>735</v>
      </c>
      <c r="H315" s="11">
        <v>3200</v>
      </c>
      <c r="I315" s="11"/>
      <c r="J315" s="3"/>
      <c r="K315" s="3"/>
      <c r="L315" s="3"/>
      <c r="M315" s="3"/>
      <c r="N315" s="4">
        <f t="shared" si="13"/>
        <v>-100</v>
      </c>
    </row>
    <row r="316" spans="1:14" ht="39" customHeight="1" x14ac:dyDescent="0.25">
      <c r="A316" t="str">
        <f t="shared" si="12"/>
        <v>047400046512000</v>
      </c>
      <c r="B316" s="3" t="s">
        <v>84</v>
      </c>
      <c r="C316" s="3" t="s">
        <v>701</v>
      </c>
      <c r="D316" s="3"/>
      <c r="E316" s="3" t="s">
        <v>734</v>
      </c>
      <c r="F316" s="3" t="s">
        <v>25</v>
      </c>
      <c r="G316" s="3" t="s">
        <v>736</v>
      </c>
      <c r="H316" s="11">
        <v>8000</v>
      </c>
      <c r="I316" s="11"/>
      <c r="J316" s="3"/>
      <c r="K316" s="3"/>
      <c r="L316" s="3"/>
      <c r="M316" s="3"/>
      <c r="N316" s="4">
        <f t="shared" si="13"/>
        <v>-100</v>
      </c>
    </row>
    <row r="317" spans="1:14" ht="39" customHeight="1" x14ac:dyDescent="0.25">
      <c r="A317" t="str">
        <f t="shared" si="12"/>
        <v>0474000466335000</v>
      </c>
      <c r="B317" s="3" t="s">
        <v>84</v>
      </c>
      <c r="C317" s="3" t="s">
        <v>701</v>
      </c>
      <c r="D317" s="3"/>
      <c r="E317" s="3" t="s">
        <v>737</v>
      </c>
      <c r="F317" s="3" t="s">
        <v>22</v>
      </c>
      <c r="G317" s="3" t="s">
        <v>738</v>
      </c>
      <c r="H317" s="11">
        <v>4400</v>
      </c>
      <c r="I317" s="11"/>
      <c r="J317" s="3"/>
      <c r="K317" s="3"/>
      <c r="L317" s="3"/>
      <c r="M317" s="3"/>
      <c r="N317" s="4">
        <f t="shared" si="13"/>
        <v>-100</v>
      </c>
    </row>
    <row r="318" spans="1:14" ht="39" customHeight="1" x14ac:dyDescent="0.25">
      <c r="A318" t="str">
        <f t="shared" si="12"/>
        <v>04740004665300</v>
      </c>
      <c r="B318" s="3" t="s">
        <v>84</v>
      </c>
      <c r="C318" s="3" t="s">
        <v>701</v>
      </c>
      <c r="D318" s="3"/>
      <c r="E318" s="3" t="s">
        <v>739</v>
      </c>
      <c r="F318" s="3" t="s">
        <v>28</v>
      </c>
      <c r="G318" s="3" t="s">
        <v>740</v>
      </c>
      <c r="H318" s="11">
        <v>7500</v>
      </c>
      <c r="I318" s="11"/>
      <c r="J318" s="3"/>
      <c r="K318" s="3"/>
      <c r="L318" s="3"/>
      <c r="M318" s="3"/>
      <c r="N318" s="4">
        <f t="shared" si="13"/>
        <v>-100</v>
      </c>
    </row>
    <row r="319" spans="1:14" ht="39" customHeight="1" x14ac:dyDescent="0.25">
      <c r="A319" t="str">
        <f t="shared" si="12"/>
        <v>047400046721900</v>
      </c>
      <c r="B319" s="3" t="s">
        <v>84</v>
      </c>
      <c r="C319" s="3" t="s">
        <v>701</v>
      </c>
      <c r="D319" s="3"/>
      <c r="E319" s="3" t="s">
        <v>741</v>
      </c>
      <c r="F319" s="3" t="s">
        <v>22</v>
      </c>
      <c r="G319" s="3" t="s">
        <v>742</v>
      </c>
      <c r="H319" s="11">
        <v>21900</v>
      </c>
      <c r="I319" s="11"/>
      <c r="J319" s="3"/>
      <c r="K319" s="3"/>
      <c r="L319" s="3"/>
      <c r="M319" s="3"/>
      <c r="N319" s="4">
        <f t="shared" si="13"/>
        <v>-100</v>
      </c>
    </row>
    <row r="320" spans="1:14" ht="39" customHeight="1" x14ac:dyDescent="0.25">
      <c r="A320" t="str">
        <f t="shared" si="12"/>
        <v>047400046992600</v>
      </c>
      <c r="B320" s="3" t="s">
        <v>84</v>
      </c>
      <c r="C320" s="3" t="s">
        <v>743</v>
      </c>
      <c r="D320" s="3"/>
      <c r="E320" s="3" t="s">
        <v>744</v>
      </c>
      <c r="F320" s="3" t="s">
        <v>22</v>
      </c>
      <c r="G320" s="3" t="s">
        <v>745</v>
      </c>
      <c r="H320" s="11">
        <v>8850</v>
      </c>
      <c r="I320" s="11"/>
      <c r="J320" s="3"/>
      <c r="K320" s="3"/>
      <c r="L320" s="3"/>
      <c r="M320" s="3"/>
      <c r="N320" s="4">
        <f t="shared" si="13"/>
        <v>-100</v>
      </c>
    </row>
    <row r="321" spans="1:14" ht="39" customHeight="1" x14ac:dyDescent="0.25">
      <c r="A321" t="str">
        <f t="shared" si="12"/>
        <v>047400047174000</v>
      </c>
      <c r="B321" s="3" t="s">
        <v>84</v>
      </c>
      <c r="C321" s="3" t="s">
        <v>743</v>
      </c>
      <c r="D321" s="3"/>
      <c r="E321" s="3" t="s">
        <v>746</v>
      </c>
      <c r="F321" s="3" t="s">
        <v>44</v>
      </c>
      <c r="G321" s="3" t="s">
        <v>747</v>
      </c>
      <c r="H321" s="11">
        <v>200</v>
      </c>
      <c r="I321" s="11"/>
      <c r="J321" s="3"/>
      <c r="K321" s="3"/>
      <c r="L321" s="3"/>
      <c r="M321" s="3"/>
      <c r="N321" s="4">
        <f t="shared" si="13"/>
        <v>-100</v>
      </c>
    </row>
    <row r="322" spans="1:14" ht="39" customHeight="1" x14ac:dyDescent="0.25">
      <c r="A322" t="str">
        <f t="shared" si="12"/>
        <v>047400048414500</v>
      </c>
      <c r="B322" s="3" t="s">
        <v>84</v>
      </c>
      <c r="C322" s="3" t="s">
        <v>743</v>
      </c>
      <c r="D322" s="3"/>
      <c r="E322" s="3" t="s">
        <v>748</v>
      </c>
      <c r="F322" s="3" t="s">
        <v>25</v>
      </c>
      <c r="G322" s="3" t="s">
        <v>749</v>
      </c>
      <c r="H322" s="11">
        <v>2000</v>
      </c>
      <c r="I322" s="11"/>
      <c r="J322" s="3"/>
      <c r="K322" s="3"/>
      <c r="L322" s="3"/>
      <c r="M322" s="3"/>
      <c r="N322" s="4">
        <f t="shared" si="13"/>
        <v>-100</v>
      </c>
    </row>
    <row r="323" spans="1:14" ht="39" customHeight="1" x14ac:dyDescent="0.25">
      <c r="A323" t="str">
        <f t="shared" si="12"/>
        <v>047400048822300</v>
      </c>
      <c r="B323" s="3" t="s">
        <v>84</v>
      </c>
      <c r="C323" s="3" t="s">
        <v>743</v>
      </c>
      <c r="D323" s="3"/>
      <c r="E323" s="3" t="s">
        <v>750</v>
      </c>
      <c r="F323" s="3" t="s">
        <v>25</v>
      </c>
      <c r="G323" s="3" t="s">
        <v>751</v>
      </c>
      <c r="H323" s="11">
        <v>8000</v>
      </c>
      <c r="I323" s="11"/>
      <c r="J323" s="3"/>
      <c r="K323" s="3"/>
      <c r="L323" s="3"/>
      <c r="M323" s="3"/>
      <c r="N323" s="4">
        <f t="shared" si="13"/>
        <v>-100</v>
      </c>
    </row>
    <row r="324" spans="1:14" ht="39" customHeight="1" x14ac:dyDescent="0.25">
      <c r="A324" t="str">
        <f t="shared" si="12"/>
        <v>047500063608000</v>
      </c>
      <c r="B324" s="3" t="s">
        <v>84</v>
      </c>
      <c r="C324" s="3" t="s">
        <v>743</v>
      </c>
      <c r="D324" s="3"/>
      <c r="E324" s="3" t="s">
        <v>752</v>
      </c>
      <c r="F324" s="3" t="s">
        <v>30</v>
      </c>
      <c r="G324" s="3" t="s">
        <v>753</v>
      </c>
      <c r="H324" s="11">
        <v>8000</v>
      </c>
      <c r="I324" s="11"/>
      <c r="J324" s="3"/>
      <c r="K324" s="3"/>
      <c r="L324" s="3"/>
      <c r="M324" s="3"/>
      <c r="N324" s="4">
        <f t="shared" si="13"/>
        <v>-100</v>
      </c>
    </row>
    <row r="325" spans="1:14" ht="39" customHeight="1" x14ac:dyDescent="0.25">
      <c r="A325" t="str">
        <f t="shared" si="12"/>
        <v>0475000758330000</v>
      </c>
      <c r="B325" s="3" t="s">
        <v>84</v>
      </c>
      <c r="C325" s="3" t="s">
        <v>743</v>
      </c>
      <c r="D325" s="3"/>
      <c r="E325" s="3" t="s">
        <v>754</v>
      </c>
      <c r="F325" s="3" t="s">
        <v>22</v>
      </c>
      <c r="G325" s="3" t="s">
        <v>755</v>
      </c>
      <c r="H325" s="11">
        <v>5800</v>
      </c>
      <c r="I325" s="11"/>
      <c r="J325" s="3"/>
      <c r="K325" s="3"/>
      <c r="L325" s="3"/>
      <c r="M325" s="3"/>
      <c r="N325" s="4">
        <f t="shared" si="13"/>
        <v>-100</v>
      </c>
    </row>
    <row r="326" spans="1:14" ht="39" customHeight="1" x14ac:dyDescent="0.25">
      <c r="A326" t="str">
        <f t="shared" si="12"/>
        <v>0475000852228000</v>
      </c>
      <c r="B326" s="3" t="s">
        <v>84</v>
      </c>
      <c r="C326" s="3" t="s">
        <v>743</v>
      </c>
      <c r="D326" s="3"/>
      <c r="E326" s="3" t="s">
        <v>756</v>
      </c>
      <c r="F326" s="3" t="s">
        <v>23</v>
      </c>
      <c r="G326" s="3" t="s">
        <v>757</v>
      </c>
      <c r="H326" s="11">
        <v>1100</v>
      </c>
      <c r="I326" s="11"/>
      <c r="J326" s="3"/>
      <c r="K326" s="3"/>
      <c r="L326" s="3"/>
      <c r="M326" s="3"/>
      <c r="N326" s="4">
        <f t="shared" si="13"/>
        <v>-100</v>
      </c>
    </row>
    <row r="327" spans="1:14" ht="39" customHeight="1" x14ac:dyDescent="0.25">
      <c r="A327" t="str">
        <f t="shared" si="12"/>
        <v>047500085483000</v>
      </c>
      <c r="B327" s="3" t="s">
        <v>84</v>
      </c>
      <c r="C327" s="3" t="s">
        <v>743</v>
      </c>
      <c r="D327" s="3"/>
      <c r="E327" s="3" t="s">
        <v>758</v>
      </c>
      <c r="F327" s="3" t="s">
        <v>57</v>
      </c>
      <c r="G327" s="3" t="s">
        <v>759</v>
      </c>
      <c r="H327" s="11">
        <v>1700</v>
      </c>
      <c r="I327" s="11"/>
      <c r="J327" s="3"/>
      <c r="K327" s="3"/>
      <c r="L327" s="3"/>
      <c r="M327" s="3"/>
      <c r="N327" s="4">
        <f t="shared" si="13"/>
        <v>-100</v>
      </c>
    </row>
    <row r="328" spans="1:14" ht="39" customHeight="1" x14ac:dyDescent="0.25">
      <c r="A328" t="str">
        <f t="shared" si="12"/>
        <v>047500085897000</v>
      </c>
      <c r="B328" s="3" t="s">
        <v>84</v>
      </c>
      <c r="C328" s="3" t="s">
        <v>743</v>
      </c>
      <c r="D328" s="3" t="s">
        <v>760</v>
      </c>
      <c r="E328" s="3" t="s">
        <v>761</v>
      </c>
      <c r="F328" s="3" t="s">
        <v>25</v>
      </c>
      <c r="G328" s="3" t="s">
        <v>762</v>
      </c>
      <c r="H328" s="11">
        <v>26299.5</v>
      </c>
      <c r="I328" s="11"/>
      <c r="J328" s="3"/>
      <c r="K328" s="3"/>
      <c r="L328" s="3"/>
      <c r="M328" s="3"/>
      <c r="N328" s="4">
        <f t="shared" si="13"/>
        <v>-100</v>
      </c>
    </row>
    <row r="329" spans="1:14" ht="39" customHeight="1" x14ac:dyDescent="0.25">
      <c r="A329" t="str">
        <f t="shared" si="12"/>
        <v>0475000862015000</v>
      </c>
      <c r="B329" s="3" t="s">
        <v>84</v>
      </c>
      <c r="C329" s="3" t="s">
        <v>743</v>
      </c>
      <c r="D329" s="3"/>
      <c r="E329" s="3" t="s">
        <v>763</v>
      </c>
      <c r="F329" s="3" t="s">
        <v>20</v>
      </c>
      <c r="G329" s="3" t="s">
        <v>764</v>
      </c>
      <c r="H329" s="11">
        <v>6400</v>
      </c>
      <c r="I329" s="11"/>
      <c r="J329" s="3"/>
      <c r="K329" s="3"/>
      <c r="L329" s="3"/>
      <c r="M329" s="3"/>
      <c r="N329" s="4">
        <f t="shared" si="13"/>
        <v>-100</v>
      </c>
    </row>
    <row r="330" spans="1:14" ht="39" customHeight="1" x14ac:dyDescent="0.25">
      <c r="A330" t="str">
        <f t="shared" si="12"/>
        <v>0475000865125000</v>
      </c>
      <c r="B330" s="3" t="s">
        <v>84</v>
      </c>
      <c r="C330" s="3" t="s">
        <v>743</v>
      </c>
      <c r="D330" s="3"/>
      <c r="E330" s="3" t="s">
        <v>765</v>
      </c>
      <c r="F330" s="3" t="s">
        <v>766</v>
      </c>
      <c r="G330" s="3" t="s">
        <v>767</v>
      </c>
      <c r="H330" s="11">
        <v>7000</v>
      </c>
      <c r="I330" s="11"/>
      <c r="J330" s="3"/>
      <c r="K330" s="3"/>
      <c r="L330" s="3"/>
      <c r="M330" s="3"/>
      <c r="N330" s="4">
        <f t="shared" si="13"/>
        <v>-100</v>
      </c>
    </row>
    <row r="331" spans="1:14" ht="39" customHeight="1" x14ac:dyDescent="0.25">
      <c r="A331" t="str">
        <f t="shared" si="12"/>
        <v>0475000871530000</v>
      </c>
      <c r="B331" s="3" t="s">
        <v>84</v>
      </c>
      <c r="C331" s="3" t="s">
        <v>743</v>
      </c>
      <c r="D331" s="3"/>
      <c r="E331" s="3" t="s">
        <v>768</v>
      </c>
      <c r="F331" s="3" t="s">
        <v>30</v>
      </c>
      <c r="G331" s="3" t="s">
        <v>769</v>
      </c>
      <c r="H331" s="11">
        <v>600</v>
      </c>
      <c r="I331" s="11"/>
      <c r="J331" s="3"/>
      <c r="K331" s="3"/>
      <c r="L331" s="3"/>
      <c r="M331" s="3"/>
      <c r="N331" s="4">
        <f t="shared" si="13"/>
        <v>-100</v>
      </c>
    </row>
    <row r="332" spans="1:14" ht="39" customHeight="1" x14ac:dyDescent="0.25">
      <c r="A332" t="str">
        <f t="shared" si="12"/>
        <v>047500090041500</v>
      </c>
      <c r="B332" s="3" t="s">
        <v>84</v>
      </c>
      <c r="C332" s="3" t="s">
        <v>743</v>
      </c>
      <c r="D332" s="3"/>
      <c r="E332" s="3" t="s">
        <v>770</v>
      </c>
      <c r="F332" s="3" t="s">
        <v>19</v>
      </c>
      <c r="G332" s="3" t="s">
        <v>771</v>
      </c>
      <c r="H332" s="11">
        <v>2000</v>
      </c>
      <c r="I332" s="11"/>
      <c r="J332" s="3"/>
      <c r="K332" s="3"/>
      <c r="L332" s="3"/>
      <c r="M332" s="3"/>
      <c r="N332" s="4">
        <f t="shared" si="13"/>
        <v>-100</v>
      </c>
    </row>
    <row r="333" spans="1:14" ht="39" customHeight="1" x14ac:dyDescent="0.25">
      <c r="A333" t="str">
        <f t="shared" si="12"/>
        <v>0475000901510000</v>
      </c>
      <c r="B333" s="3" t="s">
        <v>84</v>
      </c>
      <c r="C333" s="3" t="s">
        <v>743</v>
      </c>
      <c r="D333" s="3"/>
      <c r="E333" s="3" t="s">
        <v>772</v>
      </c>
      <c r="F333" s="3" t="s">
        <v>22</v>
      </c>
      <c r="G333" s="3" t="s">
        <v>773</v>
      </c>
      <c r="H333" s="11">
        <v>2600</v>
      </c>
      <c r="I333" s="11"/>
      <c r="J333" s="3"/>
      <c r="K333" s="3"/>
      <c r="L333" s="3"/>
      <c r="M333" s="3"/>
      <c r="N333" s="4">
        <f t="shared" si="13"/>
        <v>-100</v>
      </c>
    </row>
    <row r="334" spans="1:14" ht="39" customHeight="1" x14ac:dyDescent="0.25">
      <c r="A334" t="str">
        <f t="shared" si="12"/>
        <v>0475000908125000</v>
      </c>
      <c r="B334" s="3" t="s">
        <v>84</v>
      </c>
      <c r="C334" s="3" t="s">
        <v>743</v>
      </c>
      <c r="D334" s="3"/>
      <c r="E334" s="3" t="s">
        <v>774</v>
      </c>
      <c r="F334" s="3" t="s">
        <v>43</v>
      </c>
      <c r="G334" s="3" t="s">
        <v>775</v>
      </c>
      <c r="H334" s="11">
        <v>600</v>
      </c>
      <c r="I334" s="11"/>
      <c r="J334" s="3"/>
      <c r="K334" s="3"/>
      <c r="L334" s="3"/>
      <c r="M334" s="3"/>
      <c r="N334" s="4">
        <f t="shared" si="13"/>
        <v>-100</v>
      </c>
    </row>
    <row r="335" spans="1:14" ht="39" customHeight="1" x14ac:dyDescent="0.25">
      <c r="A335" t="str">
        <f t="shared" si="12"/>
        <v>0475000908815500</v>
      </c>
      <c r="B335" s="3" t="s">
        <v>84</v>
      </c>
      <c r="C335" s="3" t="s">
        <v>743</v>
      </c>
      <c r="D335" s="3"/>
      <c r="E335" s="3" t="s">
        <v>776</v>
      </c>
      <c r="F335" s="3" t="s">
        <v>22</v>
      </c>
      <c r="G335" s="3" t="s">
        <v>777</v>
      </c>
      <c r="H335" s="11">
        <v>2500</v>
      </c>
      <c r="I335" s="11"/>
      <c r="J335" s="3"/>
      <c r="K335" s="3"/>
      <c r="L335" s="3"/>
      <c r="M335" s="3"/>
      <c r="N335" s="4">
        <f t="shared" si="13"/>
        <v>-100</v>
      </c>
    </row>
    <row r="336" spans="1:14" ht="39" customHeight="1" x14ac:dyDescent="0.25">
      <c r="A336" t="str">
        <f t="shared" si="12"/>
        <v>047500090913000</v>
      </c>
      <c r="B336" s="3" t="s">
        <v>84</v>
      </c>
      <c r="C336" s="3" t="s">
        <v>743</v>
      </c>
      <c r="D336" s="3"/>
      <c r="E336" s="3" t="s">
        <v>778</v>
      </c>
      <c r="F336" s="3" t="s">
        <v>62</v>
      </c>
      <c r="G336" s="3" t="s">
        <v>779</v>
      </c>
      <c r="H336" s="11">
        <v>2000</v>
      </c>
      <c r="I336" s="11"/>
      <c r="J336" s="3"/>
      <c r="K336" s="3"/>
      <c r="L336" s="3"/>
      <c r="M336" s="3"/>
      <c r="N336" s="4">
        <f t="shared" si="13"/>
        <v>-100</v>
      </c>
    </row>
    <row r="337" spans="1:14" ht="39" customHeight="1" x14ac:dyDescent="0.25">
      <c r="A337" t="str">
        <f t="shared" si="12"/>
        <v>0506000383915000</v>
      </c>
      <c r="B337" s="3" t="s">
        <v>84</v>
      </c>
      <c r="C337" s="3" t="s">
        <v>743</v>
      </c>
      <c r="D337" s="3"/>
      <c r="E337" s="3" t="s">
        <v>780</v>
      </c>
      <c r="F337" s="3" t="s">
        <v>22</v>
      </c>
      <c r="G337" s="3" t="s">
        <v>781</v>
      </c>
      <c r="H337" s="11">
        <v>1300</v>
      </c>
      <c r="I337" s="11"/>
      <c r="J337" s="3"/>
      <c r="K337" s="3"/>
      <c r="L337" s="3"/>
      <c r="M337" s="3"/>
      <c r="N337" s="4">
        <f t="shared" si="13"/>
        <v>-100</v>
      </c>
    </row>
    <row r="338" spans="1:14" ht="39" customHeight="1" x14ac:dyDescent="0.25">
      <c r="A338" t="str">
        <f t="shared" si="12"/>
        <v>050600038392500</v>
      </c>
      <c r="B338" s="3" t="s">
        <v>84</v>
      </c>
      <c r="C338" s="3" t="s">
        <v>743</v>
      </c>
      <c r="D338" s="3"/>
      <c r="E338" s="3" t="s">
        <v>782</v>
      </c>
      <c r="F338" s="3" t="s">
        <v>43</v>
      </c>
      <c r="G338" s="3" t="s">
        <v>783</v>
      </c>
      <c r="H338" s="11">
        <v>1000</v>
      </c>
      <c r="I338" s="11"/>
      <c r="J338" s="3"/>
      <c r="K338" s="3"/>
      <c r="L338" s="3"/>
      <c r="M338" s="3"/>
      <c r="N338" s="4">
        <f t="shared" si="13"/>
        <v>-100</v>
      </c>
    </row>
    <row r="339" spans="1:14" ht="39" customHeight="1" x14ac:dyDescent="0.25">
      <c r="A339" t="str">
        <f t="shared" si="12"/>
        <v>050600040104200</v>
      </c>
      <c r="B339" s="3" t="s">
        <v>84</v>
      </c>
      <c r="C339" s="3" t="s">
        <v>743</v>
      </c>
      <c r="D339" s="3"/>
      <c r="E339" s="3" t="s">
        <v>784</v>
      </c>
      <c r="F339" s="3" t="s">
        <v>50</v>
      </c>
      <c r="G339" s="3" t="s">
        <v>785</v>
      </c>
      <c r="H339" s="11">
        <v>800</v>
      </c>
      <c r="I339" s="11"/>
      <c r="J339" s="3"/>
      <c r="K339" s="3"/>
      <c r="L339" s="3"/>
      <c r="M339" s="3"/>
      <c r="N339" s="4">
        <f t="shared" si="13"/>
        <v>-100</v>
      </c>
    </row>
    <row r="340" spans="1:14" ht="39" customHeight="1" x14ac:dyDescent="0.25">
      <c r="A340" t="str">
        <f t="shared" si="12"/>
        <v>050600040319000</v>
      </c>
      <c r="B340" s="3" t="s">
        <v>84</v>
      </c>
      <c r="C340" s="3" t="s">
        <v>743</v>
      </c>
      <c r="D340" s="3"/>
      <c r="E340" s="3" t="s">
        <v>786</v>
      </c>
      <c r="F340" s="3" t="s">
        <v>22</v>
      </c>
      <c r="G340" s="3" t="s">
        <v>787</v>
      </c>
      <c r="H340" s="11">
        <v>52000</v>
      </c>
      <c r="I340" s="11"/>
      <c r="J340" s="3"/>
      <c r="K340" s="3"/>
      <c r="L340" s="3"/>
      <c r="M340" s="3"/>
      <c r="N340" s="4">
        <f t="shared" si="13"/>
        <v>-100</v>
      </c>
    </row>
    <row r="341" spans="1:14" ht="39" customHeight="1" x14ac:dyDescent="0.25">
      <c r="A341" t="str">
        <f t="shared" si="12"/>
        <v>050600040319000</v>
      </c>
      <c r="B341" s="3" t="s">
        <v>84</v>
      </c>
      <c r="C341" s="3" t="s">
        <v>743</v>
      </c>
      <c r="D341" s="3"/>
      <c r="E341" s="3" t="s">
        <v>788</v>
      </c>
      <c r="F341" s="3" t="s">
        <v>22</v>
      </c>
      <c r="G341" s="3" t="s">
        <v>789</v>
      </c>
      <c r="H341" s="11">
        <v>5000</v>
      </c>
      <c r="I341" s="11"/>
      <c r="J341" s="3"/>
      <c r="K341" s="3"/>
      <c r="L341" s="3"/>
      <c r="M341" s="3"/>
      <c r="N341" s="4">
        <f t="shared" si="13"/>
        <v>-100</v>
      </c>
    </row>
    <row r="342" spans="1:14" ht="39" customHeight="1" x14ac:dyDescent="0.25">
      <c r="A342" t="str">
        <f t="shared" si="12"/>
        <v>050600040328000</v>
      </c>
      <c r="B342" s="3" t="s">
        <v>84</v>
      </c>
      <c r="C342" s="3" t="s">
        <v>743</v>
      </c>
      <c r="D342" s="3"/>
      <c r="E342" s="3" t="s">
        <v>790</v>
      </c>
      <c r="F342" s="3" t="s">
        <v>22</v>
      </c>
      <c r="G342" s="3" t="s">
        <v>791</v>
      </c>
      <c r="H342" s="11">
        <v>6200</v>
      </c>
      <c r="I342" s="11"/>
      <c r="J342" s="3"/>
      <c r="K342" s="3"/>
      <c r="L342" s="3"/>
      <c r="M342" s="3"/>
      <c r="N342" s="4">
        <f t="shared" si="13"/>
        <v>-100</v>
      </c>
    </row>
    <row r="343" spans="1:14" ht="39" customHeight="1" x14ac:dyDescent="0.25">
      <c r="A343" t="str">
        <f t="shared" si="12"/>
        <v>0506000412410000</v>
      </c>
      <c r="B343" s="3" t="s">
        <v>84</v>
      </c>
      <c r="C343" s="3" t="s">
        <v>743</v>
      </c>
      <c r="D343" s="3"/>
      <c r="E343" s="3" t="s">
        <v>792</v>
      </c>
      <c r="F343" s="3" t="s">
        <v>40</v>
      </c>
      <c r="G343" s="3" t="s">
        <v>793</v>
      </c>
      <c r="H343" s="11">
        <v>2000</v>
      </c>
      <c r="I343" s="11"/>
      <c r="J343" s="3"/>
      <c r="K343" s="3"/>
      <c r="L343" s="3"/>
      <c r="M343" s="3"/>
      <c r="N343" s="4">
        <f t="shared" si="13"/>
        <v>-100</v>
      </c>
    </row>
    <row r="344" spans="1:14" ht="39" customHeight="1" x14ac:dyDescent="0.25">
      <c r="A344" t="str">
        <f t="shared" si="12"/>
        <v>0506000415223000</v>
      </c>
      <c r="B344" s="3" t="s">
        <v>84</v>
      </c>
      <c r="C344" s="3" t="s">
        <v>743</v>
      </c>
      <c r="D344" s="3"/>
      <c r="E344" s="3" t="s">
        <v>794</v>
      </c>
      <c r="F344" s="3" t="s">
        <v>22</v>
      </c>
      <c r="G344" s="3" t="s">
        <v>795</v>
      </c>
      <c r="H344" s="11">
        <v>6500</v>
      </c>
      <c r="I344" s="11"/>
      <c r="J344" s="3"/>
      <c r="K344" s="3"/>
      <c r="L344" s="3"/>
      <c r="M344" s="3"/>
      <c r="N344" s="4">
        <f t="shared" si="13"/>
        <v>-100</v>
      </c>
    </row>
    <row r="345" spans="1:14" ht="39" customHeight="1" x14ac:dyDescent="0.25">
      <c r="A345" t="str">
        <f t="shared" si="12"/>
        <v>050600042844200</v>
      </c>
      <c r="B345" s="3" t="s">
        <v>84</v>
      </c>
      <c r="C345" s="3" t="s">
        <v>743</v>
      </c>
      <c r="D345" s="3"/>
      <c r="E345" s="3" t="s">
        <v>796</v>
      </c>
      <c r="F345" s="3" t="s">
        <v>40</v>
      </c>
      <c r="G345" s="3" t="s">
        <v>797</v>
      </c>
      <c r="H345" s="11">
        <v>100000</v>
      </c>
      <c r="I345" s="11"/>
      <c r="J345" s="3"/>
      <c r="K345" s="3"/>
      <c r="L345" s="3"/>
      <c r="M345" s="3"/>
      <c r="N345" s="4">
        <f t="shared" si="13"/>
        <v>-100</v>
      </c>
    </row>
    <row r="346" spans="1:14" ht="39" customHeight="1" x14ac:dyDescent="0.25">
      <c r="A346" t="str">
        <f t="shared" si="12"/>
        <v>050600042853000</v>
      </c>
      <c r="B346" s="3" t="s">
        <v>84</v>
      </c>
      <c r="C346" s="3" t="s">
        <v>743</v>
      </c>
      <c r="D346" s="3"/>
      <c r="E346" s="3" t="s">
        <v>798</v>
      </c>
      <c r="F346" s="3" t="s">
        <v>22</v>
      </c>
      <c r="G346" s="3" t="s">
        <v>799</v>
      </c>
      <c r="H346" s="11">
        <v>2000</v>
      </c>
      <c r="I346" s="11" t="s">
        <v>26</v>
      </c>
      <c r="J346" s="3"/>
      <c r="K346" s="3"/>
      <c r="L346" s="3"/>
      <c r="M346" s="3"/>
      <c r="N346" s="4" t="str">
        <f t="shared" si="13"/>
        <v/>
      </c>
    </row>
    <row r="347" spans="1:14" ht="39" customHeight="1" x14ac:dyDescent="0.25">
      <c r="A347" t="str">
        <f t="shared" si="12"/>
        <v>050600043581200</v>
      </c>
      <c r="B347" s="3" t="s">
        <v>84</v>
      </c>
      <c r="C347" s="3" t="s">
        <v>743</v>
      </c>
      <c r="D347" s="3"/>
      <c r="E347" s="3" t="s">
        <v>800</v>
      </c>
      <c r="F347" s="3" t="s">
        <v>22</v>
      </c>
      <c r="G347" s="3" t="s">
        <v>801</v>
      </c>
      <c r="H347" s="11">
        <v>1000</v>
      </c>
      <c r="I347" s="11"/>
      <c r="J347" s="3"/>
      <c r="K347" s="3"/>
      <c r="L347" s="3"/>
      <c r="M347" s="3"/>
      <c r="N347" s="4">
        <f t="shared" si="13"/>
        <v>-100</v>
      </c>
    </row>
    <row r="348" spans="1:14" ht="39" customHeight="1" x14ac:dyDescent="0.25">
      <c r="A348" t="str">
        <f t="shared" si="12"/>
        <v>050600043612500</v>
      </c>
      <c r="B348" s="3" t="s">
        <v>84</v>
      </c>
      <c r="C348" s="3" t="s">
        <v>743</v>
      </c>
      <c r="D348" s="3"/>
      <c r="E348" s="3" t="s">
        <v>802</v>
      </c>
      <c r="F348" s="3" t="s">
        <v>22</v>
      </c>
      <c r="G348" s="3" t="s">
        <v>803</v>
      </c>
      <c r="H348" s="11">
        <v>4700</v>
      </c>
      <c r="I348" s="11"/>
      <c r="J348" s="3"/>
      <c r="K348" s="3"/>
      <c r="L348" s="3"/>
      <c r="M348" s="3"/>
      <c r="N348" s="4">
        <f t="shared" si="13"/>
        <v>-100</v>
      </c>
    </row>
    <row r="349" spans="1:14" ht="39" customHeight="1" x14ac:dyDescent="0.25">
      <c r="A349" t="str">
        <f t="shared" si="12"/>
        <v>050600043612500</v>
      </c>
      <c r="B349" s="3" t="s">
        <v>84</v>
      </c>
      <c r="C349" s="3" t="s">
        <v>743</v>
      </c>
      <c r="D349" s="3"/>
      <c r="E349" s="3" t="s">
        <v>804</v>
      </c>
      <c r="F349" s="3" t="s">
        <v>34</v>
      </c>
      <c r="G349" s="3" t="s">
        <v>805</v>
      </c>
      <c r="H349" s="11">
        <v>1000</v>
      </c>
      <c r="I349" s="11"/>
      <c r="J349" s="3"/>
      <c r="K349" s="3"/>
      <c r="L349" s="3"/>
      <c r="M349" s="3"/>
      <c r="N349" s="4">
        <f t="shared" si="13"/>
        <v>-100</v>
      </c>
    </row>
    <row r="350" spans="1:14" ht="39" customHeight="1" x14ac:dyDescent="0.25">
      <c r="A350" t="str">
        <f t="shared" si="12"/>
        <v>050600043874000</v>
      </c>
      <c r="B350" s="3" t="s">
        <v>84</v>
      </c>
      <c r="C350" s="3" t="s">
        <v>806</v>
      </c>
      <c r="D350" s="3"/>
      <c r="E350" s="3" t="s">
        <v>807</v>
      </c>
      <c r="F350" s="3" t="s">
        <v>22</v>
      </c>
      <c r="G350" s="3" t="s">
        <v>808</v>
      </c>
      <c r="H350" s="11">
        <v>16400</v>
      </c>
      <c r="I350" s="11"/>
      <c r="J350" s="3"/>
      <c r="K350" s="3"/>
      <c r="L350" s="3"/>
      <c r="M350" s="3"/>
      <c r="N350" s="4">
        <f t="shared" si="13"/>
        <v>-100</v>
      </c>
    </row>
    <row r="351" spans="1:14" ht="39" customHeight="1" x14ac:dyDescent="0.25">
      <c r="A351" t="str">
        <f t="shared" ref="A351:A414" si="14">E313&amp;H313</f>
        <v>0506000452830000</v>
      </c>
      <c r="B351" s="3" t="s">
        <v>84</v>
      </c>
      <c r="C351" s="3" t="s">
        <v>806</v>
      </c>
      <c r="D351" s="3"/>
      <c r="E351" s="3" t="s">
        <v>809</v>
      </c>
      <c r="F351" s="3" t="s">
        <v>44</v>
      </c>
      <c r="G351" s="3" t="s">
        <v>810</v>
      </c>
      <c r="H351" s="11">
        <v>3500</v>
      </c>
      <c r="I351" s="11"/>
      <c r="J351" s="3"/>
      <c r="K351" s="3"/>
      <c r="L351" s="3"/>
      <c r="M351" s="3"/>
      <c r="N351" s="4">
        <f t="shared" si="13"/>
        <v>-100</v>
      </c>
    </row>
    <row r="352" spans="1:14" ht="39" customHeight="1" x14ac:dyDescent="0.25">
      <c r="A352" t="str">
        <f t="shared" si="14"/>
        <v>050600045833000</v>
      </c>
      <c r="B352" s="3" t="s">
        <v>84</v>
      </c>
      <c r="C352" s="3" t="s">
        <v>806</v>
      </c>
      <c r="D352" s="3"/>
      <c r="E352" s="3" t="s">
        <v>811</v>
      </c>
      <c r="F352" s="3" t="s">
        <v>44</v>
      </c>
      <c r="G352" s="3" t="s">
        <v>812</v>
      </c>
      <c r="H352" s="11">
        <v>10000</v>
      </c>
      <c r="I352" s="11"/>
      <c r="J352" s="3"/>
      <c r="K352" s="3"/>
      <c r="L352" s="3"/>
      <c r="M352" s="3"/>
      <c r="N352" s="4">
        <f t="shared" si="13"/>
        <v>-100</v>
      </c>
    </row>
    <row r="353" spans="1:14" ht="39" customHeight="1" x14ac:dyDescent="0.25">
      <c r="A353" t="str">
        <f t="shared" si="14"/>
        <v>050600047023200</v>
      </c>
      <c r="B353" s="3" t="s">
        <v>84</v>
      </c>
      <c r="C353" s="3" t="s">
        <v>806</v>
      </c>
      <c r="D353" s="3"/>
      <c r="E353" s="3" t="s">
        <v>813</v>
      </c>
      <c r="F353" s="3" t="s">
        <v>25</v>
      </c>
      <c r="G353" s="3" t="s">
        <v>814</v>
      </c>
      <c r="H353" s="11">
        <v>7000</v>
      </c>
      <c r="I353" s="11"/>
      <c r="J353" s="3"/>
      <c r="K353" s="3"/>
      <c r="L353" s="3"/>
      <c r="M353" s="3"/>
      <c r="N353" s="4">
        <f t="shared" si="13"/>
        <v>-100</v>
      </c>
    </row>
    <row r="354" spans="1:14" ht="39" customHeight="1" x14ac:dyDescent="0.25">
      <c r="A354" t="str">
        <f t="shared" si="14"/>
        <v>050600047028000</v>
      </c>
      <c r="B354" s="3" t="s">
        <v>84</v>
      </c>
      <c r="C354" s="3" t="s">
        <v>806</v>
      </c>
      <c r="D354" s="3"/>
      <c r="E354" s="3" t="s">
        <v>815</v>
      </c>
      <c r="F354" s="3" t="s">
        <v>22</v>
      </c>
      <c r="G354" s="3" t="s">
        <v>816</v>
      </c>
      <c r="H354" s="11">
        <v>13000</v>
      </c>
      <c r="I354" s="11"/>
      <c r="J354" s="3"/>
      <c r="K354" s="3"/>
      <c r="L354" s="3"/>
      <c r="M354" s="3"/>
      <c r="N354" s="4">
        <f t="shared" si="13"/>
        <v>-100</v>
      </c>
    </row>
    <row r="355" spans="1:14" ht="39" customHeight="1" x14ac:dyDescent="0.25">
      <c r="A355" t="str">
        <f t="shared" si="14"/>
        <v>050600047614400</v>
      </c>
      <c r="B355" s="3" t="s">
        <v>84</v>
      </c>
      <c r="C355" s="3" t="s">
        <v>806</v>
      </c>
      <c r="D355" s="3"/>
      <c r="E355" s="3" t="s">
        <v>817</v>
      </c>
      <c r="F355" s="3" t="s">
        <v>22</v>
      </c>
      <c r="G355" s="3" t="s">
        <v>818</v>
      </c>
      <c r="H355" s="11">
        <v>8600</v>
      </c>
      <c r="I355" s="11"/>
      <c r="J355" s="3"/>
      <c r="K355" s="3"/>
      <c r="L355" s="3"/>
      <c r="M355" s="3"/>
      <c r="N355" s="4">
        <f t="shared" si="13"/>
        <v>-100</v>
      </c>
    </row>
    <row r="356" spans="1:14" ht="39" customHeight="1" x14ac:dyDescent="0.25">
      <c r="A356" t="str">
        <f t="shared" si="14"/>
        <v>050600047857500</v>
      </c>
      <c r="B356" s="3" t="s">
        <v>84</v>
      </c>
      <c r="C356" s="3" t="s">
        <v>806</v>
      </c>
      <c r="D356" s="3"/>
      <c r="E356" s="3" t="s">
        <v>819</v>
      </c>
      <c r="F356" s="3" t="s">
        <v>23</v>
      </c>
      <c r="G356" s="3" t="s">
        <v>820</v>
      </c>
      <c r="H356" s="11">
        <v>200</v>
      </c>
      <c r="I356" s="11"/>
      <c r="J356" s="3"/>
      <c r="K356" s="3"/>
      <c r="L356" s="3"/>
      <c r="M356" s="3"/>
      <c r="N356" s="4">
        <f t="shared" si="13"/>
        <v>-100</v>
      </c>
    </row>
    <row r="357" spans="1:14" ht="39" customHeight="1" x14ac:dyDescent="0.25">
      <c r="A357" t="str">
        <f t="shared" si="14"/>
        <v>0506000478721900</v>
      </c>
      <c r="B357" s="3" t="s">
        <v>84</v>
      </c>
      <c r="C357" s="3" t="s">
        <v>806</v>
      </c>
      <c r="D357" s="3"/>
      <c r="E357" s="3" t="s">
        <v>821</v>
      </c>
      <c r="F357" s="3" t="s">
        <v>43</v>
      </c>
      <c r="G357" s="3" t="s">
        <v>822</v>
      </c>
      <c r="H357" s="11">
        <v>5000</v>
      </c>
      <c r="I357" s="11"/>
      <c r="J357" s="3"/>
      <c r="K357" s="3"/>
      <c r="L357" s="3"/>
      <c r="M357" s="3"/>
      <c r="N357" s="4">
        <f t="shared" si="13"/>
        <v>-100</v>
      </c>
    </row>
    <row r="358" spans="1:14" ht="39" customHeight="1" x14ac:dyDescent="0.25">
      <c r="A358" t="str">
        <f t="shared" si="14"/>
        <v>051700042118850</v>
      </c>
      <c r="B358" s="3" t="s">
        <v>84</v>
      </c>
      <c r="C358" s="3" t="s">
        <v>806</v>
      </c>
      <c r="D358" s="3"/>
      <c r="E358" s="3" t="s">
        <v>823</v>
      </c>
      <c r="F358" s="3" t="s">
        <v>22</v>
      </c>
      <c r="G358" s="3" t="s">
        <v>824</v>
      </c>
      <c r="H358" s="11">
        <v>3000</v>
      </c>
      <c r="I358" s="11"/>
      <c r="J358" s="3"/>
      <c r="K358" s="3"/>
      <c r="L358" s="3"/>
      <c r="M358" s="3"/>
      <c r="N358" s="4">
        <f t="shared" si="13"/>
        <v>-100</v>
      </c>
    </row>
    <row r="359" spans="1:14" ht="39" customHeight="1" x14ac:dyDescent="0.25">
      <c r="A359" t="str">
        <f t="shared" si="14"/>
        <v>05170004482200</v>
      </c>
      <c r="B359" s="3" t="s">
        <v>84</v>
      </c>
      <c r="C359" s="3" t="s">
        <v>806</v>
      </c>
      <c r="D359" s="3"/>
      <c r="E359" s="3" t="s">
        <v>825</v>
      </c>
      <c r="F359" s="3" t="s">
        <v>22</v>
      </c>
      <c r="G359" s="3" t="s">
        <v>826</v>
      </c>
      <c r="H359" s="11">
        <v>5200</v>
      </c>
      <c r="I359" s="11"/>
      <c r="J359" s="3"/>
      <c r="K359" s="3"/>
      <c r="L359" s="3"/>
      <c r="M359" s="3"/>
      <c r="N359" s="4">
        <f t="shared" si="13"/>
        <v>-100</v>
      </c>
    </row>
    <row r="360" spans="1:14" ht="39" customHeight="1" x14ac:dyDescent="0.25">
      <c r="A360" t="str">
        <f t="shared" si="14"/>
        <v>051700045532000</v>
      </c>
      <c r="B360" s="3" t="s">
        <v>84</v>
      </c>
      <c r="C360" s="3" t="s">
        <v>806</v>
      </c>
      <c r="D360" s="3"/>
      <c r="E360" s="3" t="s">
        <v>827</v>
      </c>
      <c r="F360" s="3" t="s">
        <v>16</v>
      </c>
      <c r="G360" s="3" t="s">
        <v>828</v>
      </c>
      <c r="H360" s="11">
        <v>9600</v>
      </c>
      <c r="I360" s="11"/>
      <c r="J360" s="3"/>
      <c r="K360" s="3"/>
      <c r="L360" s="3"/>
      <c r="M360" s="3"/>
      <c r="N360" s="4">
        <f t="shared" si="13"/>
        <v>-100</v>
      </c>
    </row>
    <row r="361" spans="1:14" ht="39" customHeight="1" x14ac:dyDescent="0.25">
      <c r="A361" t="str">
        <f t="shared" si="14"/>
        <v>051700050208000</v>
      </c>
      <c r="B361" s="3" t="s">
        <v>84</v>
      </c>
      <c r="C361" s="3" t="s">
        <v>829</v>
      </c>
      <c r="D361" s="3"/>
      <c r="E361" s="3" t="s">
        <v>830</v>
      </c>
      <c r="F361" s="3" t="s">
        <v>27</v>
      </c>
      <c r="G361" s="3" t="s">
        <v>831</v>
      </c>
      <c r="H361" s="11">
        <v>1800</v>
      </c>
      <c r="I361" s="11"/>
      <c r="J361" s="3"/>
      <c r="K361" s="3"/>
      <c r="L361" s="3"/>
      <c r="M361" s="3"/>
      <c r="N361" s="4">
        <f t="shared" si="13"/>
        <v>-100</v>
      </c>
    </row>
    <row r="362" spans="1:14" ht="39" customHeight="1" x14ac:dyDescent="0.25">
      <c r="A362" t="str">
        <f t="shared" si="14"/>
        <v>051700050928000</v>
      </c>
      <c r="B362" s="3" t="s">
        <v>84</v>
      </c>
      <c r="C362" s="3" t="s">
        <v>829</v>
      </c>
      <c r="D362" s="3"/>
      <c r="E362" s="3" t="s">
        <v>832</v>
      </c>
      <c r="F362" s="3" t="s">
        <v>22</v>
      </c>
      <c r="G362" s="3" t="s">
        <v>833</v>
      </c>
      <c r="H362" s="11">
        <v>1900</v>
      </c>
      <c r="I362" s="11"/>
      <c r="J362" s="3"/>
      <c r="K362" s="3"/>
      <c r="L362" s="3"/>
      <c r="M362" s="3"/>
      <c r="N362" s="4">
        <f t="shared" si="13"/>
        <v>-100</v>
      </c>
    </row>
    <row r="363" spans="1:14" ht="39" customHeight="1" x14ac:dyDescent="0.25">
      <c r="A363" t="str">
        <f t="shared" si="14"/>
        <v>051700051565800</v>
      </c>
      <c r="B363" s="3" t="s">
        <v>84</v>
      </c>
      <c r="C363" s="3" t="s">
        <v>829</v>
      </c>
      <c r="D363" s="3"/>
      <c r="E363" s="3" t="s">
        <v>834</v>
      </c>
      <c r="F363" s="3" t="s">
        <v>40</v>
      </c>
      <c r="G363" s="3" t="s">
        <v>835</v>
      </c>
      <c r="H363" s="11">
        <v>4000</v>
      </c>
      <c r="I363" s="11"/>
      <c r="J363" s="3"/>
      <c r="K363" s="3"/>
      <c r="L363" s="3"/>
      <c r="M363" s="3"/>
      <c r="N363" s="4">
        <f t="shared" si="13"/>
        <v>-100</v>
      </c>
    </row>
    <row r="364" spans="1:14" ht="39" customHeight="1" x14ac:dyDescent="0.25">
      <c r="A364" t="str">
        <f t="shared" si="14"/>
        <v>051700051781100</v>
      </c>
      <c r="B364" s="3" t="s">
        <v>84</v>
      </c>
      <c r="C364" s="3" t="s">
        <v>829</v>
      </c>
      <c r="D364" s="3"/>
      <c r="E364" s="3" t="s">
        <v>836</v>
      </c>
      <c r="F364" s="3" t="s">
        <v>44</v>
      </c>
      <c r="G364" s="3" t="s">
        <v>837</v>
      </c>
      <c r="H364" s="11">
        <v>800</v>
      </c>
      <c r="I364" s="11"/>
      <c r="J364" s="3"/>
      <c r="K364" s="3"/>
      <c r="L364" s="3"/>
      <c r="M364" s="3"/>
      <c r="N364" s="4">
        <f t="shared" si="13"/>
        <v>-100</v>
      </c>
    </row>
    <row r="365" spans="1:14" ht="39" customHeight="1" x14ac:dyDescent="0.25">
      <c r="A365" t="str">
        <f t="shared" si="14"/>
        <v>051700052381700</v>
      </c>
      <c r="B365" s="3" t="s">
        <v>84</v>
      </c>
      <c r="C365" s="3" t="s">
        <v>829</v>
      </c>
      <c r="D365" s="3"/>
      <c r="E365" s="3" t="s">
        <v>838</v>
      </c>
      <c r="F365" s="3" t="s">
        <v>59</v>
      </c>
      <c r="G365" s="3" t="s">
        <v>839</v>
      </c>
      <c r="H365" s="11">
        <v>500</v>
      </c>
      <c r="I365" s="11"/>
      <c r="J365" s="3"/>
      <c r="K365" s="3"/>
      <c r="L365" s="3"/>
      <c r="M365" s="3"/>
      <c r="N365" s="4">
        <f t="shared" si="13"/>
        <v>-100</v>
      </c>
    </row>
    <row r="366" spans="1:14" ht="39" customHeight="1" x14ac:dyDescent="0.25">
      <c r="A366" t="str">
        <f t="shared" si="14"/>
        <v>0517000543626299,5</v>
      </c>
      <c r="B366" s="3" t="s">
        <v>84</v>
      </c>
      <c r="C366" s="3" t="s">
        <v>829</v>
      </c>
      <c r="D366" s="3"/>
      <c r="E366" s="3" t="s">
        <v>838</v>
      </c>
      <c r="F366" s="3" t="s">
        <v>36</v>
      </c>
      <c r="G366" s="3" t="s">
        <v>840</v>
      </c>
      <c r="H366" s="11">
        <v>600</v>
      </c>
      <c r="I366" s="11"/>
      <c r="J366" s="3"/>
      <c r="K366" s="3"/>
      <c r="L366" s="3"/>
      <c r="M366" s="3"/>
      <c r="N366" s="4">
        <f t="shared" si="13"/>
        <v>-100</v>
      </c>
    </row>
    <row r="367" spans="1:14" ht="39" customHeight="1" x14ac:dyDescent="0.25">
      <c r="A367" t="str">
        <f t="shared" si="14"/>
        <v>051700055426400</v>
      </c>
      <c r="B367" s="3" t="s">
        <v>84</v>
      </c>
      <c r="C367" s="3" t="s">
        <v>829</v>
      </c>
      <c r="D367" s="3"/>
      <c r="E367" s="3" t="s">
        <v>838</v>
      </c>
      <c r="F367" s="3" t="s">
        <v>636</v>
      </c>
      <c r="G367" s="3" t="s">
        <v>841</v>
      </c>
      <c r="H367" s="11">
        <v>5000</v>
      </c>
      <c r="I367" s="11"/>
      <c r="J367" s="3"/>
      <c r="K367" s="3"/>
      <c r="L367" s="3"/>
      <c r="M367" s="3"/>
      <c r="N367" s="4">
        <f t="shared" si="13"/>
        <v>-100</v>
      </c>
    </row>
    <row r="368" spans="1:14" ht="39" customHeight="1" x14ac:dyDescent="0.25">
      <c r="A368" t="str">
        <f t="shared" si="14"/>
        <v>051700058607000</v>
      </c>
      <c r="B368" s="3" t="s">
        <v>84</v>
      </c>
      <c r="C368" s="3" t="s">
        <v>829</v>
      </c>
      <c r="D368" s="3"/>
      <c r="E368" s="3" t="s">
        <v>842</v>
      </c>
      <c r="F368" s="3" t="s">
        <v>25</v>
      </c>
      <c r="G368" s="3" t="s">
        <v>843</v>
      </c>
      <c r="H368" s="11">
        <v>9000</v>
      </c>
      <c r="I368" s="11"/>
      <c r="J368" s="3"/>
      <c r="K368" s="3"/>
      <c r="L368" s="3"/>
      <c r="M368" s="3"/>
      <c r="N368" s="4">
        <f t="shared" si="13"/>
        <v>-100</v>
      </c>
    </row>
    <row r="369" spans="1:14" ht="39" customHeight="1" x14ac:dyDescent="0.25">
      <c r="A369" t="str">
        <f t="shared" si="14"/>
        <v>05170005872600</v>
      </c>
      <c r="B369" s="3" t="s">
        <v>84</v>
      </c>
      <c r="C369" s="3" t="s">
        <v>829</v>
      </c>
      <c r="D369" s="3"/>
      <c r="E369" s="3" t="s">
        <v>844</v>
      </c>
      <c r="F369" s="3" t="s">
        <v>68</v>
      </c>
      <c r="G369" s="3" t="s">
        <v>845</v>
      </c>
      <c r="H369" s="11">
        <v>1000</v>
      </c>
      <c r="I369" s="11"/>
      <c r="J369" s="3"/>
      <c r="K369" s="3"/>
      <c r="L369" s="3"/>
      <c r="M369" s="3"/>
      <c r="N369" s="4">
        <f t="shared" si="13"/>
        <v>-100</v>
      </c>
    </row>
    <row r="370" spans="1:14" ht="39" customHeight="1" x14ac:dyDescent="0.25">
      <c r="A370" t="str">
        <f t="shared" si="14"/>
        <v>051700058792000</v>
      </c>
      <c r="B370" s="3" t="s">
        <v>84</v>
      </c>
      <c r="C370" s="3" t="s">
        <v>829</v>
      </c>
      <c r="D370" s="3"/>
      <c r="E370" s="3" t="s">
        <v>846</v>
      </c>
      <c r="F370" s="3" t="s">
        <v>22</v>
      </c>
      <c r="G370" s="3" t="s">
        <v>847</v>
      </c>
      <c r="H370" s="11">
        <v>21000</v>
      </c>
      <c r="I370" s="11"/>
      <c r="J370" s="3"/>
      <c r="K370" s="3"/>
      <c r="L370" s="3"/>
      <c r="M370" s="3"/>
      <c r="N370" s="4">
        <f t="shared" si="13"/>
        <v>-100</v>
      </c>
    </row>
    <row r="371" spans="1:14" ht="39" customHeight="1" x14ac:dyDescent="0.25">
      <c r="A371" t="str">
        <f t="shared" si="14"/>
        <v>051700058922600</v>
      </c>
      <c r="B371" s="3" t="s">
        <v>84</v>
      </c>
      <c r="C371" s="3" t="s">
        <v>829</v>
      </c>
      <c r="D371" s="3"/>
      <c r="E371" s="3" t="s">
        <v>848</v>
      </c>
      <c r="F371" s="3" t="s">
        <v>766</v>
      </c>
      <c r="G371" s="3" t="s">
        <v>849</v>
      </c>
      <c r="H371" s="11">
        <v>500</v>
      </c>
      <c r="I371" s="11"/>
      <c r="J371" s="3"/>
      <c r="K371" s="3"/>
      <c r="L371" s="3"/>
      <c r="M371" s="3"/>
      <c r="N371" s="4">
        <f t="shared" si="13"/>
        <v>-100</v>
      </c>
    </row>
    <row r="372" spans="1:14" ht="39" customHeight="1" x14ac:dyDescent="0.25">
      <c r="A372" t="str">
        <f t="shared" si="14"/>
        <v>05170005909600</v>
      </c>
      <c r="B372" s="3" t="s">
        <v>84</v>
      </c>
      <c r="C372" s="3" t="s">
        <v>829</v>
      </c>
      <c r="D372" s="3"/>
      <c r="E372" s="3" t="s">
        <v>850</v>
      </c>
      <c r="F372" s="3" t="s">
        <v>20</v>
      </c>
      <c r="G372" s="3" t="s">
        <v>851</v>
      </c>
      <c r="H372" s="11">
        <v>34000</v>
      </c>
      <c r="I372" s="11"/>
      <c r="J372" s="3"/>
      <c r="K372" s="3"/>
      <c r="L372" s="3"/>
      <c r="M372" s="3"/>
      <c r="N372" s="4">
        <f t="shared" si="13"/>
        <v>-100</v>
      </c>
    </row>
    <row r="373" spans="1:14" ht="39" customHeight="1" x14ac:dyDescent="0.25">
      <c r="A373" t="str">
        <f t="shared" si="14"/>
        <v>051700059172500</v>
      </c>
      <c r="B373" s="3" t="s">
        <v>84</v>
      </c>
      <c r="C373" s="3" t="s">
        <v>829</v>
      </c>
      <c r="D373" s="3"/>
      <c r="E373" s="3" t="s">
        <v>852</v>
      </c>
      <c r="F373" s="3" t="s">
        <v>22</v>
      </c>
      <c r="G373" s="3" t="s">
        <v>853</v>
      </c>
      <c r="H373" s="11">
        <v>2000</v>
      </c>
      <c r="I373" s="11"/>
      <c r="J373" s="3"/>
      <c r="K373" s="3"/>
      <c r="L373" s="3"/>
      <c r="M373" s="3"/>
      <c r="N373" s="4">
        <f t="shared" si="13"/>
        <v>-100</v>
      </c>
    </row>
    <row r="374" spans="1:14" ht="39" customHeight="1" x14ac:dyDescent="0.25">
      <c r="A374" t="str">
        <f t="shared" si="14"/>
        <v>051700059322000</v>
      </c>
      <c r="B374" s="3" t="s">
        <v>84</v>
      </c>
      <c r="C374" s="3" t="s">
        <v>829</v>
      </c>
      <c r="D374" s="3"/>
      <c r="E374" s="3" t="s">
        <v>854</v>
      </c>
      <c r="F374" s="3" t="s">
        <v>22</v>
      </c>
      <c r="G374" s="3" t="s">
        <v>855</v>
      </c>
      <c r="H374" s="11">
        <v>1900</v>
      </c>
      <c r="I374" s="11"/>
      <c r="J374" s="3"/>
      <c r="K374" s="3"/>
      <c r="L374" s="3"/>
      <c r="M374" s="3"/>
      <c r="N374" s="4">
        <f t="shared" si="13"/>
        <v>-100</v>
      </c>
    </row>
    <row r="375" spans="1:14" ht="39" customHeight="1" x14ac:dyDescent="0.25">
      <c r="A375" t="str">
        <f t="shared" si="14"/>
        <v>051700059491300</v>
      </c>
      <c r="B375" s="3" t="s">
        <v>84</v>
      </c>
      <c r="C375" s="3" t="s">
        <v>829</v>
      </c>
      <c r="D375" s="3"/>
      <c r="E375" s="3" t="s">
        <v>856</v>
      </c>
      <c r="F375" s="3" t="s">
        <v>76</v>
      </c>
      <c r="G375" s="3" t="s">
        <v>857</v>
      </c>
      <c r="H375" s="11">
        <v>4000</v>
      </c>
      <c r="I375" s="11"/>
      <c r="J375" s="3"/>
      <c r="K375" s="3"/>
      <c r="L375" s="3"/>
      <c r="M375" s="3"/>
      <c r="N375" s="4">
        <f t="shared" si="13"/>
        <v>-100</v>
      </c>
    </row>
    <row r="376" spans="1:14" ht="39" customHeight="1" x14ac:dyDescent="0.25">
      <c r="A376" t="str">
        <f t="shared" si="14"/>
        <v>051700059621000</v>
      </c>
      <c r="B376" s="3" t="s">
        <v>84</v>
      </c>
      <c r="C376" s="3" t="s">
        <v>829</v>
      </c>
      <c r="D376" s="3"/>
      <c r="E376" s="3" t="s">
        <v>858</v>
      </c>
      <c r="F376" s="3" t="s">
        <v>44</v>
      </c>
      <c r="G376" s="3" t="s">
        <v>859</v>
      </c>
      <c r="H376" s="11">
        <v>4000</v>
      </c>
      <c r="I376" s="11"/>
      <c r="J376" s="3"/>
      <c r="K376" s="3"/>
      <c r="L376" s="3"/>
      <c r="M376" s="3"/>
      <c r="N376" s="4">
        <f t="shared" si="13"/>
        <v>-100</v>
      </c>
    </row>
    <row r="377" spans="1:14" ht="39" customHeight="1" x14ac:dyDescent="0.25">
      <c r="A377" t="str">
        <f t="shared" si="14"/>
        <v>05170005969800</v>
      </c>
      <c r="B377" s="3" t="s">
        <v>84</v>
      </c>
      <c r="C377" s="3" t="s">
        <v>829</v>
      </c>
      <c r="D377" s="3"/>
      <c r="E377" s="3" t="s">
        <v>860</v>
      </c>
      <c r="F377" s="3" t="s">
        <v>42</v>
      </c>
      <c r="G377" s="3" t="s">
        <v>861</v>
      </c>
      <c r="H377" s="11">
        <v>3000</v>
      </c>
      <c r="I377" s="11"/>
      <c r="J377" s="3"/>
      <c r="K377" s="3"/>
      <c r="L377" s="3"/>
      <c r="M377" s="3"/>
      <c r="N377" s="4">
        <f t="shared" ref="N377:N440" si="15">IFERROR(((I377*100)/H377)-100,"")</f>
        <v>-100</v>
      </c>
    </row>
    <row r="378" spans="1:14" ht="39" customHeight="1" x14ac:dyDescent="0.25">
      <c r="A378" t="str">
        <f t="shared" si="14"/>
        <v>0517000598352000</v>
      </c>
      <c r="B378" s="3" t="s">
        <v>84</v>
      </c>
      <c r="C378" s="3" t="s">
        <v>829</v>
      </c>
      <c r="D378" s="3"/>
      <c r="E378" s="3" t="s">
        <v>860</v>
      </c>
      <c r="F378" s="3" t="s">
        <v>42</v>
      </c>
      <c r="G378" s="3" t="s">
        <v>862</v>
      </c>
      <c r="H378" s="11">
        <v>3000</v>
      </c>
      <c r="I378" s="11"/>
      <c r="J378" s="3"/>
      <c r="K378" s="3"/>
      <c r="L378" s="3"/>
      <c r="M378" s="3"/>
      <c r="N378" s="4">
        <f t="shared" si="15"/>
        <v>-100</v>
      </c>
    </row>
    <row r="379" spans="1:14" ht="39" customHeight="1" x14ac:dyDescent="0.25">
      <c r="A379" t="str">
        <f t="shared" si="14"/>
        <v>051700059885000</v>
      </c>
      <c r="B379" s="3" t="s">
        <v>84</v>
      </c>
      <c r="C379" s="3" t="s">
        <v>829</v>
      </c>
      <c r="D379" s="3"/>
      <c r="E379" s="3" t="s">
        <v>863</v>
      </c>
      <c r="F379" s="3" t="s">
        <v>22</v>
      </c>
      <c r="G379" s="3" t="s">
        <v>864</v>
      </c>
      <c r="H379" s="11">
        <v>3500</v>
      </c>
      <c r="I379" s="11"/>
      <c r="J379" s="3"/>
      <c r="K379" s="3"/>
      <c r="L379" s="3"/>
      <c r="M379" s="3"/>
      <c r="N379" s="4">
        <f t="shared" si="15"/>
        <v>-100</v>
      </c>
    </row>
    <row r="380" spans="1:14" ht="39" customHeight="1" x14ac:dyDescent="0.25">
      <c r="A380" t="str">
        <f t="shared" si="14"/>
        <v>051700061516200</v>
      </c>
      <c r="B380" s="3" t="s">
        <v>84</v>
      </c>
      <c r="C380" s="3" t="s">
        <v>829</v>
      </c>
      <c r="D380" s="3"/>
      <c r="E380" s="3" t="s">
        <v>865</v>
      </c>
      <c r="F380" s="3" t="s">
        <v>40</v>
      </c>
      <c r="G380" s="3" t="s">
        <v>866</v>
      </c>
      <c r="H380" s="11">
        <v>50000</v>
      </c>
      <c r="I380" s="11"/>
      <c r="J380" s="3"/>
      <c r="K380" s="3"/>
      <c r="L380" s="3"/>
      <c r="M380" s="3"/>
      <c r="N380" s="4">
        <f t="shared" si="15"/>
        <v>-100</v>
      </c>
    </row>
    <row r="381" spans="1:14" ht="39" customHeight="1" x14ac:dyDescent="0.25">
      <c r="A381" t="str">
        <f t="shared" si="14"/>
        <v>051700061762000</v>
      </c>
      <c r="B381" s="3" t="s">
        <v>84</v>
      </c>
      <c r="C381" s="3" t="s">
        <v>867</v>
      </c>
      <c r="D381" s="3"/>
      <c r="E381" s="3" t="s">
        <v>868</v>
      </c>
      <c r="F381" s="3" t="s">
        <v>23</v>
      </c>
      <c r="G381" s="3" t="s">
        <v>869</v>
      </c>
      <c r="H381" s="11">
        <v>2600</v>
      </c>
      <c r="I381" s="11"/>
      <c r="J381" s="3"/>
      <c r="K381" s="3"/>
      <c r="L381" s="3"/>
      <c r="M381" s="3"/>
      <c r="N381" s="4">
        <f t="shared" si="15"/>
        <v>-100</v>
      </c>
    </row>
    <row r="382" spans="1:14" ht="39" customHeight="1" x14ac:dyDescent="0.25">
      <c r="A382" t="str">
        <f t="shared" si="14"/>
        <v>051700062196500</v>
      </c>
      <c r="B382" s="3" t="s">
        <v>84</v>
      </c>
      <c r="C382" s="3" t="s">
        <v>867</v>
      </c>
      <c r="D382" s="3"/>
      <c r="E382" s="3" t="s">
        <v>870</v>
      </c>
      <c r="F382" s="3" t="s">
        <v>22</v>
      </c>
      <c r="G382" s="3" t="s">
        <v>871</v>
      </c>
      <c r="H382" s="11">
        <v>11000</v>
      </c>
      <c r="I382" s="11"/>
      <c r="J382" s="3"/>
      <c r="K382" s="3"/>
      <c r="L382" s="3"/>
      <c r="M382" s="3"/>
      <c r="N382" s="4">
        <f t="shared" si="15"/>
        <v>-100</v>
      </c>
    </row>
    <row r="383" spans="1:14" ht="39" customHeight="1" x14ac:dyDescent="0.25">
      <c r="A383" t="str">
        <f t="shared" si="14"/>
        <v>05170006253100000</v>
      </c>
      <c r="B383" s="3" t="s">
        <v>84</v>
      </c>
      <c r="C383" s="3" t="s">
        <v>867</v>
      </c>
      <c r="D383" s="3"/>
      <c r="E383" s="3" t="s">
        <v>872</v>
      </c>
      <c r="F383" s="3" t="s">
        <v>22</v>
      </c>
      <c r="G383" s="3" t="s">
        <v>873</v>
      </c>
      <c r="H383" s="11">
        <v>40000</v>
      </c>
      <c r="I383" s="11"/>
      <c r="J383" s="3"/>
      <c r="K383" s="3"/>
      <c r="L383" s="3"/>
      <c r="M383" s="3"/>
      <c r="N383" s="4">
        <f t="shared" si="15"/>
        <v>-100</v>
      </c>
    </row>
    <row r="384" spans="1:14" ht="39" customHeight="1" x14ac:dyDescent="0.25">
      <c r="A384" t="str">
        <f t="shared" si="14"/>
        <v>051700062572000</v>
      </c>
      <c r="B384" s="3" t="s">
        <v>84</v>
      </c>
      <c r="C384" s="3" t="s">
        <v>867</v>
      </c>
      <c r="D384" s="3"/>
      <c r="E384" s="3" t="s">
        <v>874</v>
      </c>
      <c r="F384" s="3" t="s">
        <v>44</v>
      </c>
      <c r="G384" s="3" t="s">
        <v>875</v>
      </c>
      <c r="H384" s="11">
        <v>7500</v>
      </c>
      <c r="I384" s="11"/>
      <c r="J384" s="3"/>
      <c r="K384" s="3"/>
      <c r="L384" s="3"/>
      <c r="M384" s="3"/>
      <c r="N384" s="4">
        <f t="shared" si="15"/>
        <v>-100</v>
      </c>
    </row>
    <row r="385" spans="1:14" ht="39" customHeight="1" x14ac:dyDescent="0.25">
      <c r="A385" t="str">
        <f t="shared" si="14"/>
        <v>051700062601000</v>
      </c>
      <c r="B385" s="3" t="s">
        <v>84</v>
      </c>
      <c r="C385" s="3" t="s">
        <v>867</v>
      </c>
      <c r="D385" s="3"/>
      <c r="E385" s="3" t="s">
        <v>876</v>
      </c>
      <c r="F385" s="3" t="s">
        <v>25</v>
      </c>
      <c r="G385" s="3" t="s">
        <v>877</v>
      </c>
      <c r="H385" s="11">
        <v>25000</v>
      </c>
      <c r="I385" s="11"/>
      <c r="J385" s="3"/>
      <c r="K385" s="3"/>
      <c r="L385" s="3"/>
      <c r="M385" s="3"/>
      <c r="N385" s="4">
        <f t="shared" si="15"/>
        <v>-100</v>
      </c>
    </row>
    <row r="386" spans="1:14" ht="39" customHeight="1" x14ac:dyDescent="0.25">
      <c r="A386" t="str">
        <f t="shared" si="14"/>
        <v>051700062654700</v>
      </c>
      <c r="B386" s="3" t="s">
        <v>84</v>
      </c>
      <c r="C386" s="3" t="s">
        <v>867</v>
      </c>
      <c r="D386" s="3"/>
      <c r="E386" s="3" t="s">
        <v>878</v>
      </c>
      <c r="F386" s="3" t="s">
        <v>22</v>
      </c>
      <c r="G386" s="3" t="s">
        <v>879</v>
      </c>
      <c r="H386" s="11">
        <v>2500</v>
      </c>
      <c r="I386" s="11"/>
      <c r="J386" s="3"/>
      <c r="K386" s="3"/>
      <c r="L386" s="3"/>
      <c r="M386" s="3"/>
      <c r="N386" s="4">
        <f t="shared" si="15"/>
        <v>-100</v>
      </c>
    </row>
    <row r="387" spans="1:14" ht="39" customHeight="1" x14ac:dyDescent="0.25">
      <c r="A387" t="str">
        <f t="shared" si="14"/>
        <v>051700062901000</v>
      </c>
      <c r="B387" s="3" t="s">
        <v>84</v>
      </c>
      <c r="C387" s="3" t="s">
        <v>867</v>
      </c>
      <c r="D387" s="3"/>
      <c r="E387" s="3" t="s">
        <v>880</v>
      </c>
      <c r="F387" s="3" t="s">
        <v>23</v>
      </c>
      <c r="G387" s="3" t="s">
        <v>881</v>
      </c>
      <c r="H387" s="11">
        <v>1400</v>
      </c>
      <c r="I387" s="11"/>
      <c r="J387" s="3"/>
      <c r="K387" s="3"/>
      <c r="L387" s="3"/>
      <c r="M387" s="3"/>
      <c r="N387" s="4">
        <f t="shared" si="15"/>
        <v>-100</v>
      </c>
    </row>
    <row r="388" spans="1:14" ht="39" customHeight="1" x14ac:dyDescent="0.25">
      <c r="A388" t="str">
        <f t="shared" si="14"/>
        <v>0533000538116400</v>
      </c>
      <c r="B388" s="3" t="s">
        <v>84</v>
      </c>
      <c r="C388" s="3" t="s">
        <v>867</v>
      </c>
      <c r="D388" s="3"/>
      <c r="E388" s="3" t="s">
        <v>882</v>
      </c>
      <c r="F388" s="3" t="s">
        <v>20</v>
      </c>
      <c r="G388" s="3" t="s">
        <v>883</v>
      </c>
      <c r="H388" s="11">
        <v>12000</v>
      </c>
      <c r="I388" s="11"/>
      <c r="J388" s="3"/>
      <c r="K388" s="3"/>
      <c r="L388" s="3"/>
      <c r="M388" s="3"/>
      <c r="N388" s="4">
        <f t="shared" si="15"/>
        <v>-100</v>
      </c>
    </row>
    <row r="389" spans="1:14" ht="39" customHeight="1" x14ac:dyDescent="0.25">
      <c r="A389" t="str">
        <f t="shared" si="14"/>
        <v>053300054153500</v>
      </c>
      <c r="B389" s="3" t="s">
        <v>84</v>
      </c>
      <c r="C389" s="3" t="s">
        <v>867</v>
      </c>
      <c r="D389" s="3"/>
      <c r="E389" s="3" t="s">
        <v>884</v>
      </c>
      <c r="F389" s="3" t="s">
        <v>23</v>
      </c>
      <c r="G389" s="3" t="s">
        <v>885</v>
      </c>
      <c r="H389" s="11">
        <v>1500</v>
      </c>
      <c r="I389" s="11"/>
      <c r="J389" s="3"/>
      <c r="K389" s="3"/>
      <c r="L389" s="3"/>
      <c r="M389" s="3"/>
      <c r="N389" s="4">
        <f t="shared" si="15"/>
        <v>-100</v>
      </c>
    </row>
    <row r="390" spans="1:14" ht="39" customHeight="1" x14ac:dyDescent="0.25">
      <c r="A390" t="str">
        <f t="shared" si="14"/>
        <v>0533000543810000</v>
      </c>
      <c r="B390" s="3" t="s">
        <v>84</v>
      </c>
      <c r="C390" s="3" t="s">
        <v>867</v>
      </c>
      <c r="D390" s="3"/>
      <c r="E390" s="3" t="s">
        <v>886</v>
      </c>
      <c r="F390" s="3" t="s">
        <v>45</v>
      </c>
      <c r="G390" s="3" t="s">
        <v>887</v>
      </c>
      <c r="H390" s="11">
        <v>400</v>
      </c>
      <c r="I390" s="11"/>
      <c r="J390" s="3"/>
      <c r="K390" s="3"/>
      <c r="L390" s="3"/>
      <c r="M390" s="3"/>
      <c r="N390" s="4">
        <f t="shared" si="15"/>
        <v>-100</v>
      </c>
    </row>
    <row r="391" spans="1:14" ht="39" customHeight="1" x14ac:dyDescent="0.25">
      <c r="A391" t="str">
        <f t="shared" si="14"/>
        <v>053300054577000</v>
      </c>
      <c r="B391" s="3" t="s">
        <v>84</v>
      </c>
      <c r="C391" s="3" t="s">
        <v>867</v>
      </c>
      <c r="D391" s="3"/>
      <c r="E391" s="3" t="s">
        <v>888</v>
      </c>
      <c r="F391" s="3" t="s">
        <v>22</v>
      </c>
      <c r="G391" s="3" t="s">
        <v>889</v>
      </c>
      <c r="H391" s="11">
        <v>4000</v>
      </c>
      <c r="I391" s="11"/>
      <c r="J391" s="3"/>
      <c r="K391" s="3"/>
      <c r="L391" s="3"/>
      <c r="M391" s="3"/>
      <c r="N391" s="4">
        <f t="shared" si="15"/>
        <v>-100</v>
      </c>
    </row>
    <row r="392" spans="1:14" ht="39" customHeight="1" x14ac:dyDescent="0.25">
      <c r="A392" t="str">
        <f t="shared" si="14"/>
        <v>0533000549013000</v>
      </c>
      <c r="B392" s="3" t="s">
        <v>84</v>
      </c>
      <c r="C392" s="3" t="s">
        <v>867</v>
      </c>
      <c r="D392" s="3"/>
      <c r="E392" s="3" t="s">
        <v>890</v>
      </c>
      <c r="F392" s="3" t="s">
        <v>22</v>
      </c>
      <c r="G392" s="3" t="s">
        <v>891</v>
      </c>
      <c r="H392" s="11">
        <v>1200</v>
      </c>
      <c r="I392" s="11"/>
      <c r="J392" s="3"/>
      <c r="K392" s="3"/>
      <c r="L392" s="3"/>
      <c r="M392" s="3"/>
      <c r="N392" s="4">
        <f t="shared" si="15"/>
        <v>-100</v>
      </c>
    </row>
    <row r="393" spans="1:14" ht="39" customHeight="1" x14ac:dyDescent="0.25">
      <c r="A393" t="str">
        <f t="shared" si="14"/>
        <v>053300056448600</v>
      </c>
      <c r="B393" s="3" t="s">
        <v>84</v>
      </c>
      <c r="C393" s="3" t="s">
        <v>867</v>
      </c>
      <c r="D393" s="3"/>
      <c r="E393" s="3" t="s">
        <v>892</v>
      </c>
      <c r="F393" s="3" t="s">
        <v>30</v>
      </c>
      <c r="G393" s="3" t="s">
        <v>893</v>
      </c>
      <c r="H393" s="11">
        <v>4000</v>
      </c>
      <c r="I393" s="11"/>
      <c r="J393" s="3"/>
      <c r="K393" s="3"/>
      <c r="L393" s="3"/>
      <c r="M393" s="3"/>
      <c r="N393" s="4">
        <f t="shared" si="15"/>
        <v>-100</v>
      </c>
    </row>
    <row r="394" spans="1:14" ht="39" customHeight="1" x14ac:dyDescent="0.25">
      <c r="A394" t="str">
        <f t="shared" si="14"/>
        <v>05330005674200</v>
      </c>
      <c r="B394" s="3" t="s">
        <v>84</v>
      </c>
      <c r="C394" s="3" t="s">
        <v>867</v>
      </c>
      <c r="D394" s="3" t="s">
        <v>894</v>
      </c>
      <c r="E394" s="3" t="s">
        <v>895</v>
      </c>
      <c r="F394" s="3" t="s">
        <v>22</v>
      </c>
      <c r="G394" s="3" t="s">
        <v>896</v>
      </c>
      <c r="H394" s="11">
        <v>7100</v>
      </c>
      <c r="I394" s="11"/>
      <c r="J394" s="3"/>
      <c r="K394" s="3"/>
      <c r="L394" s="3"/>
      <c r="M394" s="3"/>
      <c r="N394" s="4">
        <f t="shared" si="15"/>
        <v>-100</v>
      </c>
    </row>
    <row r="395" spans="1:14" ht="39" customHeight="1" x14ac:dyDescent="0.25">
      <c r="A395" t="str">
        <f t="shared" si="14"/>
        <v>053300057105000</v>
      </c>
      <c r="B395" s="3" t="s">
        <v>84</v>
      </c>
      <c r="C395" s="3" t="s">
        <v>867</v>
      </c>
      <c r="D395" s="3"/>
      <c r="E395" s="3" t="s">
        <v>897</v>
      </c>
      <c r="F395" s="3" t="s">
        <v>48</v>
      </c>
      <c r="G395" s="3" t="s">
        <v>898</v>
      </c>
      <c r="H395" s="11">
        <v>4000</v>
      </c>
      <c r="I395" s="11"/>
      <c r="J395" s="3"/>
      <c r="K395" s="3"/>
      <c r="L395" s="3"/>
      <c r="M395" s="3"/>
      <c r="N395" s="4">
        <f t="shared" si="15"/>
        <v>-100</v>
      </c>
    </row>
    <row r="396" spans="1:14" ht="39" customHeight="1" x14ac:dyDescent="0.25">
      <c r="A396" t="str">
        <f t="shared" si="14"/>
        <v>053300057183000</v>
      </c>
      <c r="B396" s="3" t="s">
        <v>84</v>
      </c>
      <c r="C396" s="3" t="s">
        <v>867</v>
      </c>
      <c r="D396" s="3"/>
      <c r="E396" s="3" t="s">
        <v>899</v>
      </c>
      <c r="F396" s="3" t="s">
        <v>57</v>
      </c>
      <c r="G396" s="3" t="s">
        <v>900</v>
      </c>
      <c r="H396" s="11">
        <v>2000</v>
      </c>
      <c r="I396" s="11"/>
      <c r="J396" s="3"/>
      <c r="K396" s="3"/>
      <c r="L396" s="3"/>
      <c r="M396" s="3"/>
      <c r="N396" s="4">
        <f t="shared" si="15"/>
        <v>-100</v>
      </c>
    </row>
    <row r="397" spans="1:14" ht="39" customHeight="1" x14ac:dyDescent="0.25">
      <c r="A397" t="str">
        <f t="shared" si="14"/>
        <v>053300057535200</v>
      </c>
      <c r="B397" s="3" t="s">
        <v>84</v>
      </c>
      <c r="C397" s="3" t="s">
        <v>867</v>
      </c>
      <c r="D397" s="3"/>
      <c r="E397" s="3" t="s">
        <v>901</v>
      </c>
      <c r="F397" s="3" t="s">
        <v>23</v>
      </c>
      <c r="G397" s="3" t="s">
        <v>902</v>
      </c>
      <c r="H397" s="11">
        <v>800</v>
      </c>
      <c r="I397" s="11"/>
      <c r="J397" s="3"/>
      <c r="K397" s="3"/>
      <c r="L397" s="3"/>
      <c r="M397" s="3"/>
      <c r="N397" s="4">
        <f t="shared" si="15"/>
        <v>-100</v>
      </c>
    </row>
    <row r="398" spans="1:14" ht="39" customHeight="1" x14ac:dyDescent="0.25">
      <c r="A398" t="str">
        <f t="shared" si="14"/>
        <v>936900009629600</v>
      </c>
      <c r="B398" s="3" t="s">
        <v>84</v>
      </c>
      <c r="C398" s="3" t="s">
        <v>867</v>
      </c>
      <c r="D398" s="3"/>
      <c r="E398" s="3" t="s">
        <v>903</v>
      </c>
      <c r="F398" s="3" t="s">
        <v>40</v>
      </c>
      <c r="G398" s="3" t="s">
        <v>904</v>
      </c>
      <c r="H398" s="11">
        <v>925</v>
      </c>
      <c r="I398" s="11"/>
      <c r="J398" s="3"/>
      <c r="K398" s="3"/>
      <c r="L398" s="3"/>
      <c r="M398" s="3"/>
      <c r="N398" s="4">
        <f t="shared" si="15"/>
        <v>-100</v>
      </c>
    </row>
    <row r="399" spans="1:14" ht="39" customHeight="1" x14ac:dyDescent="0.25">
      <c r="A399" t="str">
        <f t="shared" si="14"/>
        <v>054200044861800</v>
      </c>
      <c r="B399" s="3" t="s">
        <v>84</v>
      </c>
      <c r="C399" s="3" t="s">
        <v>905</v>
      </c>
      <c r="D399" s="3"/>
      <c r="E399" s="3" t="s">
        <v>906</v>
      </c>
      <c r="F399" s="3" t="s">
        <v>22</v>
      </c>
      <c r="G399" s="3" t="s">
        <v>907</v>
      </c>
      <c r="H399" s="11">
        <v>6000</v>
      </c>
      <c r="I399" s="11"/>
      <c r="J399" s="3"/>
      <c r="K399" s="3"/>
      <c r="L399" s="3"/>
      <c r="M399" s="3"/>
      <c r="N399" s="4">
        <f t="shared" si="15"/>
        <v>-100</v>
      </c>
    </row>
    <row r="400" spans="1:14" ht="39" customHeight="1" x14ac:dyDescent="0.25">
      <c r="A400" t="str">
        <f t="shared" si="14"/>
        <v>054200054511900</v>
      </c>
      <c r="B400" s="3" t="s">
        <v>84</v>
      </c>
      <c r="C400" s="3" t="s">
        <v>905</v>
      </c>
      <c r="D400" s="3"/>
      <c r="E400" s="3" t="s">
        <v>908</v>
      </c>
      <c r="F400" s="3" t="s">
        <v>25</v>
      </c>
      <c r="G400" s="3" t="s">
        <v>909</v>
      </c>
      <c r="H400" s="11">
        <v>22000</v>
      </c>
      <c r="I400" s="11"/>
      <c r="J400" s="3"/>
      <c r="K400" s="3"/>
      <c r="L400" s="3"/>
      <c r="M400" s="3"/>
      <c r="N400" s="4">
        <f t="shared" si="15"/>
        <v>-100</v>
      </c>
    </row>
    <row r="401" spans="1:14" ht="39" customHeight="1" x14ac:dyDescent="0.25">
      <c r="A401" t="str">
        <f t="shared" si="14"/>
        <v>054200059374000</v>
      </c>
      <c r="B401" s="3" t="s">
        <v>84</v>
      </c>
      <c r="C401" s="3" t="s">
        <v>905</v>
      </c>
      <c r="D401" s="3"/>
      <c r="E401" s="3" t="s">
        <v>910</v>
      </c>
      <c r="F401" s="3" t="s">
        <v>62</v>
      </c>
      <c r="G401" s="3" t="s">
        <v>911</v>
      </c>
      <c r="H401" s="11">
        <v>500</v>
      </c>
      <c r="I401" s="11"/>
      <c r="J401" s="3"/>
      <c r="K401" s="3"/>
      <c r="L401" s="3"/>
      <c r="M401" s="3"/>
      <c r="N401" s="4">
        <f t="shared" si="15"/>
        <v>-100</v>
      </c>
    </row>
    <row r="402" spans="1:14" ht="39" customHeight="1" x14ac:dyDescent="0.25">
      <c r="A402" t="str">
        <f t="shared" si="14"/>
        <v>05420005949800</v>
      </c>
      <c r="B402" s="3" t="s">
        <v>84</v>
      </c>
      <c r="C402" s="3" t="s">
        <v>905</v>
      </c>
      <c r="D402" s="3"/>
      <c r="E402" s="3" t="s">
        <v>912</v>
      </c>
      <c r="F402" s="3" t="s">
        <v>22</v>
      </c>
      <c r="G402" s="3" t="s">
        <v>913</v>
      </c>
      <c r="H402" s="11">
        <v>3500</v>
      </c>
      <c r="I402" s="11"/>
      <c r="J402" s="3"/>
      <c r="K402" s="3"/>
      <c r="L402" s="3"/>
      <c r="M402" s="3"/>
      <c r="N402" s="4">
        <f t="shared" si="15"/>
        <v>-100</v>
      </c>
    </row>
    <row r="403" spans="1:14" ht="39" customHeight="1" x14ac:dyDescent="0.25">
      <c r="A403" t="str">
        <f t="shared" si="14"/>
        <v>05420005963500</v>
      </c>
      <c r="B403" s="3" t="s">
        <v>84</v>
      </c>
      <c r="C403" s="3" t="s">
        <v>905</v>
      </c>
      <c r="D403" s="3"/>
      <c r="E403" s="3" t="s">
        <v>914</v>
      </c>
      <c r="F403" s="3" t="s">
        <v>61</v>
      </c>
      <c r="G403" s="3" t="s">
        <v>915</v>
      </c>
      <c r="H403" s="11">
        <v>200</v>
      </c>
      <c r="I403" s="11"/>
      <c r="J403" s="3"/>
      <c r="K403" s="3"/>
      <c r="L403" s="3"/>
      <c r="M403" s="3"/>
      <c r="N403" s="4">
        <f t="shared" si="15"/>
        <v>-100</v>
      </c>
    </row>
    <row r="404" spans="1:14" ht="39" customHeight="1" x14ac:dyDescent="0.25">
      <c r="A404" t="str">
        <f t="shared" si="14"/>
        <v>05420005963600</v>
      </c>
      <c r="B404" s="3" t="s">
        <v>84</v>
      </c>
      <c r="C404" s="3" t="s">
        <v>905</v>
      </c>
      <c r="D404" s="3"/>
      <c r="E404" s="3" t="s">
        <v>916</v>
      </c>
      <c r="F404" s="3" t="s">
        <v>20</v>
      </c>
      <c r="G404" s="3" t="s">
        <v>917</v>
      </c>
      <c r="H404" s="11">
        <v>4500</v>
      </c>
      <c r="I404" s="11"/>
      <c r="J404" s="3"/>
      <c r="K404" s="3"/>
      <c r="L404" s="3"/>
      <c r="M404" s="3"/>
      <c r="N404" s="4">
        <f t="shared" si="15"/>
        <v>-100</v>
      </c>
    </row>
    <row r="405" spans="1:14" ht="39" customHeight="1" x14ac:dyDescent="0.25">
      <c r="A405" t="str">
        <f t="shared" si="14"/>
        <v>054200059635000</v>
      </c>
      <c r="B405" s="3" t="s">
        <v>84</v>
      </c>
      <c r="C405" s="3" t="s">
        <v>905</v>
      </c>
      <c r="D405" s="3"/>
      <c r="E405" s="3" t="s">
        <v>918</v>
      </c>
      <c r="F405" s="3" t="s">
        <v>22</v>
      </c>
      <c r="G405" s="3" t="s">
        <v>919</v>
      </c>
      <c r="H405" s="11">
        <v>3200</v>
      </c>
      <c r="I405" s="11"/>
      <c r="J405" s="3"/>
      <c r="K405" s="3"/>
      <c r="L405" s="3"/>
      <c r="M405" s="3"/>
      <c r="N405" s="4">
        <f t="shared" si="15"/>
        <v>-100</v>
      </c>
    </row>
    <row r="406" spans="1:14" ht="39" customHeight="1" x14ac:dyDescent="0.25">
      <c r="A406" t="str">
        <f t="shared" si="14"/>
        <v>054200059689000</v>
      </c>
      <c r="B406" s="3" t="s">
        <v>84</v>
      </c>
      <c r="C406" s="3" t="s">
        <v>905</v>
      </c>
      <c r="D406" s="3"/>
      <c r="E406" s="3" t="s">
        <v>920</v>
      </c>
      <c r="F406" s="3" t="s">
        <v>22</v>
      </c>
      <c r="G406" s="3" t="s">
        <v>921</v>
      </c>
      <c r="H406" s="11">
        <v>3000</v>
      </c>
      <c r="I406" s="11"/>
      <c r="J406" s="3"/>
      <c r="K406" s="3"/>
      <c r="L406" s="3"/>
      <c r="M406" s="3"/>
      <c r="N406" s="4">
        <f t="shared" si="15"/>
        <v>-100</v>
      </c>
    </row>
    <row r="407" spans="1:14" ht="39" customHeight="1" x14ac:dyDescent="0.25">
      <c r="A407" t="str">
        <f t="shared" si="14"/>
        <v>054200059941000</v>
      </c>
      <c r="B407" s="3" t="s">
        <v>84</v>
      </c>
      <c r="C407" s="3" t="s">
        <v>905</v>
      </c>
      <c r="D407" s="3"/>
      <c r="E407" s="3" t="s">
        <v>922</v>
      </c>
      <c r="F407" s="3" t="s">
        <v>22</v>
      </c>
      <c r="G407" s="3" t="s">
        <v>923</v>
      </c>
      <c r="H407" s="11">
        <v>1800</v>
      </c>
      <c r="I407" s="11"/>
      <c r="J407" s="3"/>
      <c r="K407" s="3"/>
      <c r="L407" s="3"/>
      <c r="M407" s="3"/>
      <c r="N407" s="4">
        <f t="shared" si="15"/>
        <v>-100</v>
      </c>
    </row>
    <row r="408" spans="1:14" ht="39" customHeight="1" x14ac:dyDescent="0.25">
      <c r="A408" t="str">
        <f t="shared" si="14"/>
        <v>0542000600121000</v>
      </c>
      <c r="B408" s="3" t="s">
        <v>84</v>
      </c>
      <c r="C408" s="3" t="s">
        <v>905</v>
      </c>
      <c r="D408" s="3"/>
      <c r="E408" s="3" t="s">
        <v>922</v>
      </c>
      <c r="F408" s="3" t="s">
        <v>23</v>
      </c>
      <c r="G408" s="3" t="s">
        <v>924</v>
      </c>
      <c r="H408" s="11">
        <v>1700</v>
      </c>
      <c r="I408" s="11"/>
      <c r="J408" s="3"/>
      <c r="K408" s="3"/>
      <c r="L408" s="3"/>
      <c r="M408" s="3"/>
      <c r="N408" s="4">
        <f t="shared" si="15"/>
        <v>-100</v>
      </c>
    </row>
    <row r="409" spans="1:14" ht="39" customHeight="1" x14ac:dyDescent="0.25">
      <c r="A409" t="str">
        <f t="shared" si="14"/>
        <v>05420006008500</v>
      </c>
      <c r="B409" s="3" t="s">
        <v>84</v>
      </c>
      <c r="C409" s="3" t="s">
        <v>925</v>
      </c>
      <c r="D409" s="3"/>
      <c r="E409" s="3" t="s">
        <v>926</v>
      </c>
      <c r="F409" s="3" t="s">
        <v>22</v>
      </c>
      <c r="G409" s="3" t="s">
        <v>927</v>
      </c>
      <c r="H409" s="11">
        <v>47000</v>
      </c>
      <c r="I409" s="11"/>
      <c r="J409" s="3"/>
      <c r="K409" s="3"/>
      <c r="L409" s="3"/>
      <c r="M409" s="3"/>
      <c r="N409" s="4">
        <f t="shared" si="15"/>
        <v>-100</v>
      </c>
    </row>
    <row r="410" spans="1:14" ht="39" customHeight="1" x14ac:dyDescent="0.25">
      <c r="A410" t="str">
        <f t="shared" si="14"/>
        <v>0542000601134000</v>
      </c>
      <c r="B410" s="3" t="s">
        <v>84</v>
      </c>
      <c r="C410" s="3" t="s">
        <v>925</v>
      </c>
      <c r="D410" s="3"/>
      <c r="E410" s="3" t="s">
        <v>928</v>
      </c>
      <c r="F410" s="3" t="s">
        <v>22</v>
      </c>
      <c r="G410" s="3" t="s">
        <v>929</v>
      </c>
      <c r="H410" s="11">
        <v>33000</v>
      </c>
      <c r="I410" s="11"/>
      <c r="J410" s="3"/>
      <c r="K410" s="3"/>
      <c r="L410" s="3"/>
      <c r="M410" s="3"/>
      <c r="N410" s="4">
        <f t="shared" si="15"/>
        <v>-100</v>
      </c>
    </row>
    <row r="411" spans="1:14" ht="39" customHeight="1" x14ac:dyDescent="0.25">
      <c r="A411" t="str">
        <f t="shared" si="14"/>
        <v>054200060152000</v>
      </c>
      <c r="B411" s="3" t="s">
        <v>84</v>
      </c>
      <c r="C411" s="3" t="s">
        <v>925</v>
      </c>
      <c r="D411" s="3"/>
      <c r="E411" s="3" t="s">
        <v>930</v>
      </c>
      <c r="F411" s="3" t="s">
        <v>25</v>
      </c>
      <c r="G411" s="3" t="s">
        <v>931</v>
      </c>
      <c r="H411" s="11">
        <v>40000</v>
      </c>
      <c r="I411" s="11"/>
      <c r="J411" s="3"/>
      <c r="K411" s="3"/>
      <c r="L411" s="3"/>
      <c r="M411" s="3"/>
      <c r="N411" s="4">
        <f t="shared" si="15"/>
        <v>-100</v>
      </c>
    </row>
    <row r="412" spans="1:14" ht="39" customHeight="1" x14ac:dyDescent="0.25">
      <c r="A412" t="str">
        <f t="shared" si="14"/>
        <v>054200060161900</v>
      </c>
      <c r="B412" s="3" t="s">
        <v>84</v>
      </c>
      <c r="C412" s="3" t="s">
        <v>925</v>
      </c>
      <c r="D412" s="3"/>
      <c r="E412" s="3" t="s">
        <v>932</v>
      </c>
      <c r="F412" s="3" t="s">
        <v>36</v>
      </c>
      <c r="G412" s="3" t="s">
        <v>933</v>
      </c>
      <c r="H412" s="11">
        <v>400</v>
      </c>
      <c r="I412" s="11"/>
      <c r="J412" s="3"/>
      <c r="K412" s="3"/>
      <c r="L412" s="3"/>
      <c r="M412" s="3"/>
      <c r="N412" s="4">
        <f t="shared" si="15"/>
        <v>-100</v>
      </c>
    </row>
    <row r="413" spans="1:14" ht="39" customHeight="1" x14ac:dyDescent="0.25">
      <c r="A413" t="str">
        <f t="shared" si="14"/>
        <v>054200060334000</v>
      </c>
      <c r="B413" s="3" t="s">
        <v>84</v>
      </c>
      <c r="C413" s="3" t="s">
        <v>925</v>
      </c>
      <c r="D413" s="3"/>
      <c r="E413" s="3" t="s">
        <v>934</v>
      </c>
      <c r="F413" s="3" t="s">
        <v>25</v>
      </c>
      <c r="G413" s="3" t="s">
        <v>935</v>
      </c>
      <c r="H413" s="11">
        <v>35000</v>
      </c>
      <c r="I413" s="11"/>
      <c r="J413" s="3"/>
      <c r="K413" s="3"/>
      <c r="L413" s="3"/>
      <c r="M413" s="3"/>
      <c r="N413" s="4">
        <f t="shared" si="15"/>
        <v>-100</v>
      </c>
    </row>
    <row r="414" spans="1:14" ht="39" customHeight="1" x14ac:dyDescent="0.25">
      <c r="A414" t="str">
        <f t="shared" si="14"/>
        <v>054200060504000</v>
      </c>
      <c r="B414" s="3" t="s">
        <v>84</v>
      </c>
      <c r="C414" s="3" t="s">
        <v>925</v>
      </c>
      <c r="D414" s="3"/>
      <c r="E414" s="3" t="s">
        <v>936</v>
      </c>
      <c r="F414" s="3" t="s">
        <v>22</v>
      </c>
      <c r="G414" s="3" t="s">
        <v>937</v>
      </c>
      <c r="H414" s="11">
        <v>2500</v>
      </c>
      <c r="I414" s="11"/>
      <c r="J414" s="3"/>
      <c r="K414" s="3"/>
      <c r="L414" s="3"/>
      <c r="M414" s="3"/>
      <c r="N414" s="4">
        <f t="shared" si="15"/>
        <v>-100</v>
      </c>
    </row>
    <row r="415" spans="1:14" ht="39" customHeight="1" x14ac:dyDescent="0.25">
      <c r="A415" t="str">
        <f t="shared" ref="A415:A478" si="16">E377&amp;H377</f>
        <v>054200060703000</v>
      </c>
      <c r="B415" s="3" t="s">
        <v>84</v>
      </c>
      <c r="C415" s="3" t="s">
        <v>925</v>
      </c>
      <c r="D415" s="3"/>
      <c r="E415" s="3" t="s">
        <v>938</v>
      </c>
      <c r="F415" s="3" t="s">
        <v>22</v>
      </c>
      <c r="G415" s="3" t="s">
        <v>939</v>
      </c>
      <c r="H415" s="11">
        <v>2000</v>
      </c>
      <c r="I415" s="11"/>
      <c r="J415" s="3"/>
      <c r="K415" s="3"/>
      <c r="L415" s="3"/>
      <c r="M415" s="3"/>
      <c r="N415" s="4">
        <f t="shared" si="15"/>
        <v>-100</v>
      </c>
    </row>
    <row r="416" spans="1:14" ht="39" customHeight="1" x14ac:dyDescent="0.25">
      <c r="A416" t="str">
        <f t="shared" si="16"/>
        <v>054200060703000</v>
      </c>
      <c r="B416" s="3" t="s">
        <v>84</v>
      </c>
      <c r="C416" s="3" t="s">
        <v>925</v>
      </c>
      <c r="D416" s="3"/>
      <c r="E416" s="3" t="s">
        <v>940</v>
      </c>
      <c r="F416" s="3" t="s">
        <v>66</v>
      </c>
      <c r="G416" s="3" t="s">
        <v>941</v>
      </c>
      <c r="H416" s="11">
        <v>1000</v>
      </c>
      <c r="I416" s="11"/>
      <c r="J416" s="3"/>
      <c r="K416" s="3"/>
      <c r="L416" s="3"/>
      <c r="M416" s="3"/>
      <c r="N416" s="4">
        <f t="shared" si="15"/>
        <v>-100</v>
      </c>
    </row>
    <row r="417" spans="1:14" ht="39" customHeight="1" x14ac:dyDescent="0.25">
      <c r="A417" t="str">
        <f t="shared" si="16"/>
        <v>054200062843500</v>
      </c>
      <c r="B417" s="3" t="s">
        <v>84</v>
      </c>
      <c r="C417" s="3" t="s">
        <v>925</v>
      </c>
      <c r="D417" s="3"/>
      <c r="E417" s="3" t="s">
        <v>942</v>
      </c>
      <c r="F417" s="3" t="s">
        <v>22</v>
      </c>
      <c r="G417" s="3" t="s">
        <v>943</v>
      </c>
      <c r="H417" s="11">
        <v>3500</v>
      </c>
      <c r="I417" s="11"/>
      <c r="J417" s="3"/>
      <c r="K417" s="3"/>
      <c r="L417" s="3"/>
      <c r="M417" s="3"/>
      <c r="N417" s="4">
        <f t="shared" si="15"/>
        <v>-100</v>
      </c>
    </row>
    <row r="418" spans="1:14" ht="39" customHeight="1" x14ac:dyDescent="0.25">
      <c r="A418" t="str">
        <f t="shared" si="16"/>
        <v>0542000631350000</v>
      </c>
      <c r="B418" s="3" t="s">
        <v>84</v>
      </c>
      <c r="C418" s="3" t="s">
        <v>925</v>
      </c>
      <c r="D418" s="3"/>
      <c r="E418" s="3" t="s">
        <v>944</v>
      </c>
      <c r="F418" s="3" t="s">
        <v>22</v>
      </c>
      <c r="G418" s="3" t="s">
        <v>945</v>
      </c>
      <c r="H418" s="11">
        <v>9000</v>
      </c>
      <c r="I418" s="11"/>
      <c r="J418" s="3"/>
      <c r="K418" s="3"/>
      <c r="L418" s="3"/>
      <c r="M418" s="3"/>
      <c r="N418" s="4">
        <f t="shared" si="15"/>
        <v>-100</v>
      </c>
    </row>
    <row r="419" spans="1:14" ht="39" customHeight="1" x14ac:dyDescent="0.25">
      <c r="A419" t="str">
        <f t="shared" si="16"/>
        <v>054300030172600</v>
      </c>
      <c r="B419" s="3" t="s">
        <v>84</v>
      </c>
      <c r="C419" s="3" t="s">
        <v>925</v>
      </c>
      <c r="D419" s="3"/>
      <c r="E419" s="3" t="s">
        <v>946</v>
      </c>
      <c r="F419" s="3" t="s">
        <v>22</v>
      </c>
      <c r="G419" s="3" t="s">
        <v>947</v>
      </c>
      <c r="H419" s="11">
        <v>2300</v>
      </c>
      <c r="I419" s="11"/>
      <c r="J419" s="3"/>
      <c r="K419" s="3"/>
      <c r="L419" s="3"/>
      <c r="M419" s="3"/>
      <c r="N419" s="4">
        <f t="shared" si="15"/>
        <v>-100</v>
      </c>
    </row>
    <row r="420" spans="1:14" ht="39" customHeight="1" x14ac:dyDescent="0.25">
      <c r="A420" t="str">
        <f t="shared" si="16"/>
        <v>0543000315111000</v>
      </c>
      <c r="B420" s="3" t="s">
        <v>84</v>
      </c>
      <c r="C420" s="3" t="s">
        <v>925</v>
      </c>
      <c r="D420" s="3"/>
      <c r="E420" s="3" t="s">
        <v>948</v>
      </c>
      <c r="F420" s="3" t="s">
        <v>16</v>
      </c>
      <c r="G420" s="3" t="s">
        <v>949</v>
      </c>
      <c r="H420" s="11">
        <v>12000</v>
      </c>
      <c r="I420" s="11"/>
      <c r="J420" s="3"/>
      <c r="K420" s="3"/>
      <c r="L420" s="3"/>
      <c r="M420" s="3"/>
      <c r="N420" s="4">
        <f t="shared" si="15"/>
        <v>-100</v>
      </c>
    </row>
    <row r="421" spans="1:14" ht="39" customHeight="1" x14ac:dyDescent="0.25">
      <c r="A421" t="str">
        <f t="shared" si="16"/>
        <v>0543000324040000</v>
      </c>
      <c r="B421" s="3" t="s">
        <v>84</v>
      </c>
      <c r="C421" s="3" t="s">
        <v>950</v>
      </c>
      <c r="D421" s="3"/>
      <c r="E421" s="3" t="s">
        <v>951</v>
      </c>
      <c r="F421" s="3" t="s">
        <v>33</v>
      </c>
      <c r="G421" s="3" t="s">
        <v>952</v>
      </c>
      <c r="H421" s="11">
        <v>2500</v>
      </c>
      <c r="I421" s="11"/>
      <c r="J421" s="3"/>
      <c r="K421" s="3"/>
      <c r="L421" s="3"/>
      <c r="M421" s="3"/>
      <c r="N421" s="4">
        <f t="shared" si="15"/>
        <v>-100</v>
      </c>
    </row>
    <row r="422" spans="1:14" ht="39" customHeight="1" x14ac:dyDescent="0.25">
      <c r="A422" t="str">
        <f t="shared" si="16"/>
        <v>054300032527500</v>
      </c>
      <c r="B422" s="3" t="s">
        <v>84</v>
      </c>
      <c r="C422" s="3" t="s">
        <v>950</v>
      </c>
      <c r="D422" s="3"/>
      <c r="E422" s="3" t="s">
        <v>953</v>
      </c>
      <c r="F422" s="3" t="s">
        <v>63</v>
      </c>
      <c r="G422" s="3" t="s">
        <v>954</v>
      </c>
      <c r="H422" s="11">
        <v>1000</v>
      </c>
      <c r="I422" s="11"/>
      <c r="J422" s="3"/>
      <c r="K422" s="3"/>
      <c r="L422" s="3"/>
      <c r="M422" s="3"/>
      <c r="N422" s="4">
        <f t="shared" si="15"/>
        <v>-100</v>
      </c>
    </row>
    <row r="423" spans="1:14" ht="39" customHeight="1" x14ac:dyDescent="0.25">
      <c r="A423" t="str">
        <f t="shared" si="16"/>
        <v>0543000418625000</v>
      </c>
      <c r="B423" s="3" t="s">
        <v>84</v>
      </c>
      <c r="C423" s="3" t="s">
        <v>950</v>
      </c>
      <c r="D423" s="3"/>
      <c r="E423" s="3" t="s">
        <v>955</v>
      </c>
      <c r="F423" s="3" t="s">
        <v>19</v>
      </c>
      <c r="G423" s="3" t="s">
        <v>956</v>
      </c>
      <c r="H423" s="11">
        <v>1366</v>
      </c>
      <c r="I423" s="11"/>
      <c r="J423" s="3"/>
      <c r="K423" s="3"/>
      <c r="L423" s="3"/>
      <c r="M423" s="3"/>
      <c r="N423" s="4">
        <f t="shared" si="15"/>
        <v>-100</v>
      </c>
    </row>
    <row r="424" spans="1:14" ht="39" customHeight="1" x14ac:dyDescent="0.25">
      <c r="A424" t="str">
        <f t="shared" si="16"/>
        <v>054300042222500</v>
      </c>
      <c r="B424" s="3" t="s">
        <v>84</v>
      </c>
      <c r="C424" s="3" t="s">
        <v>950</v>
      </c>
      <c r="D424" s="3"/>
      <c r="E424" s="3" t="s">
        <v>957</v>
      </c>
      <c r="F424" s="3" t="s">
        <v>59</v>
      </c>
      <c r="G424" s="3" t="s">
        <v>958</v>
      </c>
      <c r="H424" s="11">
        <v>1200</v>
      </c>
      <c r="I424" s="11"/>
      <c r="J424" s="3"/>
      <c r="K424" s="3"/>
      <c r="L424" s="3"/>
      <c r="M424" s="3"/>
      <c r="N424" s="4">
        <f t="shared" si="15"/>
        <v>-100</v>
      </c>
    </row>
    <row r="425" spans="1:14" ht="39" customHeight="1" x14ac:dyDescent="0.25">
      <c r="A425" t="str">
        <f t="shared" si="16"/>
        <v>054300042261400</v>
      </c>
      <c r="B425" s="3" t="s">
        <v>84</v>
      </c>
      <c r="C425" s="3" t="s">
        <v>950</v>
      </c>
      <c r="D425" s="3"/>
      <c r="E425" s="3" t="s">
        <v>959</v>
      </c>
      <c r="F425" s="3" t="s">
        <v>55</v>
      </c>
      <c r="G425" s="3" t="s">
        <v>960</v>
      </c>
      <c r="H425" s="11">
        <v>2000</v>
      </c>
      <c r="I425" s="11"/>
      <c r="J425" s="3"/>
      <c r="K425" s="3"/>
      <c r="L425" s="3"/>
      <c r="M425" s="3"/>
      <c r="N425" s="4">
        <f t="shared" si="15"/>
        <v>-100</v>
      </c>
    </row>
    <row r="426" spans="1:14" ht="39" customHeight="1" x14ac:dyDescent="0.25">
      <c r="A426" t="str">
        <f t="shared" si="16"/>
        <v>0543000423712000</v>
      </c>
      <c r="B426" s="3" t="s">
        <v>84</v>
      </c>
      <c r="C426" s="3" t="s">
        <v>950</v>
      </c>
      <c r="D426" s="3"/>
      <c r="E426" s="3" t="s">
        <v>961</v>
      </c>
      <c r="F426" s="3" t="s">
        <v>51</v>
      </c>
      <c r="G426" s="3" t="s">
        <v>962</v>
      </c>
      <c r="H426" s="11">
        <v>3500</v>
      </c>
      <c r="I426" s="11"/>
      <c r="J426" s="3"/>
      <c r="K426" s="3"/>
      <c r="L426" s="3"/>
      <c r="M426" s="3"/>
      <c r="N426" s="4">
        <f t="shared" si="15"/>
        <v>-100</v>
      </c>
    </row>
    <row r="427" spans="1:14" ht="39" customHeight="1" x14ac:dyDescent="0.25">
      <c r="A427" t="str">
        <f t="shared" si="16"/>
        <v>054300042441500</v>
      </c>
      <c r="B427" s="3" t="s">
        <v>84</v>
      </c>
      <c r="C427" s="3" t="s">
        <v>950</v>
      </c>
      <c r="D427" s="3"/>
      <c r="E427" s="3" t="s">
        <v>963</v>
      </c>
      <c r="F427" s="3" t="s">
        <v>59</v>
      </c>
      <c r="G427" s="3" t="s">
        <v>964</v>
      </c>
      <c r="H427" s="11">
        <v>1540</v>
      </c>
      <c r="I427" s="11"/>
      <c r="J427" s="3"/>
      <c r="K427" s="3"/>
      <c r="L427" s="3"/>
      <c r="M427" s="3"/>
      <c r="N427" s="4">
        <f t="shared" si="15"/>
        <v>-100</v>
      </c>
    </row>
    <row r="428" spans="1:14" ht="39" customHeight="1" x14ac:dyDescent="0.25">
      <c r="A428" t="str">
        <f t="shared" si="16"/>
        <v>05430004255400</v>
      </c>
      <c r="B428" s="3" t="s">
        <v>84</v>
      </c>
      <c r="C428" s="3" t="s">
        <v>950</v>
      </c>
      <c r="D428" s="3"/>
      <c r="E428" s="3" t="s">
        <v>965</v>
      </c>
      <c r="F428" s="3" t="s">
        <v>20</v>
      </c>
      <c r="G428" s="3" t="s">
        <v>966</v>
      </c>
      <c r="H428" s="11">
        <v>30000</v>
      </c>
      <c r="I428" s="11"/>
      <c r="J428" s="3"/>
      <c r="K428" s="3"/>
      <c r="L428" s="3"/>
      <c r="M428" s="3"/>
      <c r="N428" s="4">
        <f t="shared" si="15"/>
        <v>-100</v>
      </c>
    </row>
    <row r="429" spans="1:14" ht="39" customHeight="1" x14ac:dyDescent="0.25">
      <c r="A429" t="str">
        <f t="shared" si="16"/>
        <v>054300042614000</v>
      </c>
      <c r="B429" s="3" t="s">
        <v>84</v>
      </c>
      <c r="C429" s="3" t="s">
        <v>950</v>
      </c>
      <c r="D429" s="3"/>
      <c r="E429" s="3" t="s">
        <v>967</v>
      </c>
      <c r="F429" s="3" t="s">
        <v>19</v>
      </c>
      <c r="G429" s="3" t="s">
        <v>968</v>
      </c>
      <c r="H429" s="11">
        <v>1000</v>
      </c>
      <c r="I429" s="11"/>
      <c r="J429" s="3"/>
      <c r="K429" s="3"/>
      <c r="L429" s="3"/>
      <c r="M429" s="3"/>
      <c r="N429" s="4">
        <f t="shared" si="15"/>
        <v>-100</v>
      </c>
    </row>
    <row r="430" spans="1:14" ht="39" customHeight="1" x14ac:dyDescent="0.25">
      <c r="A430" t="str">
        <f t="shared" si="16"/>
        <v>054300042751200</v>
      </c>
      <c r="B430" s="3" t="s">
        <v>84</v>
      </c>
      <c r="C430" s="3" t="s">
        <v>950</v>
      </c>
      <c r="D430" s="3"/>
      <c r="E430" s="3" t="s">
        <v>969</v>
      </c>
      <c r="F430" s="3" t="s">
        <v>22</v>
      </c>
      <c r="G430" s="3" t="s">
        <v>970</v>
      </c>
      <c r="H430" s="11">
        <v>12500</v>
      </c>
      <c r="I430" s="11"/>
      <c r="J430" s="3"/>
      <c r="K430" s="3"/>
      <c r="L430" s="3"/>
      <c r="M430" s="3"/>
      <c r="N430" s="4">
        <f t="shared" si="15"/>
        <v>-100</v>
      </c>
    </row>
    <row r="431" spans="1:14" ht="39" customHeight="1" x14ac:dyDescent="0.25">
      <c r="A431" t="str">
        <f t="shared" si="16"/>
        <v>054300042814000</v>
      </c>
      <c r="B431" s="3" t="s">
        <v>84</v>
      </c>
      <c r="C431" s="3" t="s">
        <v>950</v>
      </c>
      <c r="D431" s="3"/>
      <c r="E431" s="3" t="s">
        <v>971</v>
      </c>
      <c r="F431" s="3" t="s">
        <v>58</v>
      </c>
      <c r="G431" s="3" t="s">
        <v>972</v>
      </c>
      <c r="H431" s="11">
        <v>1500</v>
      </c>
      <c r="I431" s="11"/>
      <c r="J431" s="3"/>
      <c r="K431" s="3"/>
      <c r="L431" s="3"/>
      <c r="M431" s="3"/>
      <c r="N431" s="4">
        <f t="shared" si="15"/>
        <v>-100</v>
      </c>
    </row>
    <row r="432" spans="1:14" ht="39" customHeight="1" x14ac:dyDescent="0.25">
      <c r="A432" t="str">
        <f t="shared" si="16"/>
        <v>054300042907100</v>
      </c>
      <c r="B432" s="3" t="s">
        <v>84</v>
      </c>
      <c r="C432" s="3" t="s">
        <v>950</v>
      </c>
      <c r="D432" s="3"/>
      <c r="E432" s="3" t="s">
        <v>973</v>
      </c>
      <c r="F432" s="3" t="s">
        <v>50</v>
      </c>
      <c r="G432" s="3" t="s">
        <v>974</v>
      </c>
      <c r="H432" s="11">
        <v>200</v>
      </c>
      <c r="I432" s="11"/>
      <c r="J432" s="3"/>
      <c r="K432" s="3"/>
      <c r="L432" s="3"/>
      <c r="M432" s="3"/>
      <c r="N432" s="4">
        <f t="shared" si="15"/>
        <v>-100</v>
      </c>
    </row>
    <row r="433" spans="1:14" ht="39" customHeight="1" x14ac:dyDescent="0.25">
      <c r="A433" t="str">
        <f t="shared" si="16"/>
        <v>054300042994000</v>
      </c>
      <c r="B433" s="3" t="s">
        <v>84</v>
      </c>
      <c r="C433" s="3" t="s">
        <v>950</v>
      </c>
      <c r="D433" s="3"/>
      <c r="E433" s="3" t="s">
        <v>975</v>
      </c>
      <c r="F433" s="3" t="s">
        <v>25</v>
      </c>
      <c r="G433" s="3" t="s">
        <v>976</v>
      </c>
      <c r="H433" s="11">
        <v>9000</v>
      </c>
      <c r="I433" s="11"/>
      <c r="J433" s="3"/>
      <c r="K433" s="3"/>
      <c r="L433" s="3"/>
      <c r="M433" s="3"/>
      <c r="N433" s="4">
        <f t="shared" si="15"/>
        <v>-100</v>
      </c>
    </row>
    <row r="434" spans="1:14" ht="39" customHeight="1" x14ac:dyDescent="0.25">
      <c r="A434" t="str">
        <f t="shared" si="16"/>
        <v>054300043112000</v>
      </c>
      <c r="B434" s="3" t="s">
        <v>84</v>
      </c>
      <c r="C434" s="3" t="s">
        <v>950</v>
      </c>
      <c r="D434" s="3"/>
      <c r="E434" s="3" t="s">
        <v>977</v>
      </c>
      <c r="F434" s="3" t="s">
        <v>25</v>
      </c>
      <c r="G434" s="3" t="s">
        <v>978</v>
      </c>
      <c r="H434" s="11">
        <v>7000</v>
      </c>
      <c r="I434" s="11"/>
      <c r="J434" s="3"/>
      <c r="K434" s="3"/>
      <c r="L434" s="3"/>
      <c r="M434" s="3"/>
      <c r="N434" s="4">
        <f t="shared" si="15"/>
        <v>-100</v>
      </c>
    </row>
    <row r="435" spans="1:14" ht="39" customHeight="1" x14ac:dyDescent="0.25">
      <c r="A435" t="str">
        <f t="shared" si="16"/>
        <v>05430004442800</v>
      </c>
      <c r="B435" s="3" t="s">
        <v>84</v>
      </c>
      <c r="C435" s="3" t="s">
        <v>950</v>
      </c>
      <c r="D435" s="3"/>
      <c r="E435" s="3" t="s">
        <v>979</v>
      </c>
      <c r="F435" s="3" t="s">
        <v>53</v>
      </c>
      <c r="G435" s="3" t="s">
        <v>980</v>
      </c>
      <c r="H435" s="11">
        <v>500</v>
      </c>
      <c r="I435" s="11"/>
      <c r="J435" s="3"/>
      <c r="K435" s="3"/>
      <c r="L435" s="3"/>
      <c r="M435" s="3"/>
      <c r="N435" s="4">
        <f t="shared" si="15"/>
        <v>-100</v>
      </c>
    </row>
    <row r="436" spans="1:14" ht="39" customHeight="1" x14ac:dyDescent="0.25">
      <c r="A436" t="str">
        <f t="shared" si="16"/>
        <v>05430004522925</v>
      </c>
      <c r="B436" s="3" t="s">
        <v>84</v>
      </c>
      <c r="C436" s="3" t="s">
        <v>950</v>
      </c>
      <c r="D436" s="3"/>
      <c r="E436" s="3" t="s">
        <v>981</v>
      </c>
      <c r="F436" s="3" t="s">
        <v>22</v>
      </c>
      <c r="G436" s="3" t="s">
        <v>982</v>
      </c>
      <c r="H436" s="11">
        <v>8000</v>
      </c>
      <c r="I436" s="11"/>
      <c r="J436" s="3"/>
      <c r="K436" s="3"/>
      <c r="L436" s="3"/>
      <c r="M436" s="3"/>
      <c r="N436" s="4">
        <f t="shared" si="15"/>
        <v>-100</v>
      </c>
    </row>
    <row r="437" spans="1:14" ht="39" customHeight="1" x14ac:dyDescent="0.25">
      <c r="A437" t="str">
        <f t="shared" si="16"/>
        <v>054400030306000</v>
      </c>
      <c r="B437" s="3" t="s">
        <v>84</v>
      </c>
      <c r="C437" s="3" t="s">
        <v>950</v>
      </c>
      <c r="D437" s="3"/>
      <c r="E437" s="3" t="s">
        <v>983</v>
      </c>
      <c r="F437" s="3" t="s">
        <v>22</v>
      </c>
      <c r="G437" s="3" t="s">
        <v>984</v>
      </c>
      <c r="H437" s="11">
        <v>9000</v>
      </c>
      <c r="I437" s="11"/>
      <c r="J437" s="3"/>
      <c r="K437" s="3"/>
      <c r="L437" s="3"/>
      <c r="M437" s="3"/>
      <c r="N437" s="4">
        <f t="shared" si="15"/>
        <v>-100</v>
      </c>
    </row>
    <row r="438" spans="1:14" ht="39" customHeight="1" x14ac:dyDescent="0.25">
      <c r="A438" t="str">
        <f t="shared" si="16"/>
        <v>0544000313922000</v>
      </c>
      <c r="B438" s="3" t="s">
        <v>84</v>
      </c>
      <c r="C438" s="3" t="s">
        <v>950</v>
      </c>
      <c r="D438" s="3"/>
      <c r="E438" s="3" t="s">
        <v>985</v>
      </c>
      <c r="F438" s="3" t="s">
        <v>41</v>
      </c>
      <c r="G438" s="3" t="s">
        <v>986</v>
      </c>
      <c r="H438" s="11">
        <v>4000</v>
      </c>
      <c r="I438" s="11"/>
      <c r="J438" s="3"/>
      <c r="K438" s="3"/>
      <c r="L438" s="3"/>
      <c r="M438" s="3"/>
      <c r="N438" s="4">
        <f t="shared" si="15"/>
        <v>-100</v>
      </c>
    </row>
    <row r="439" spans="1:14" ht="39" customHeight="1" x14ac:dyDescent="0.25">
      <c r="A439" t="str">
        <f t="shared" si="16"/>
        <v>05440003347500</v>
      </c>
      <c r="B439" s="3" t="s">
        <v>84</v>
      </c>
      <c r="C439" s="3" t="s">
        <v>950</v>
      </c>
      <c r="D439" s="3"/>
      <c r="E439" s="3" t="s">
        <v>987</v>
      </c>
      <c r="F439" s="3" t="s">
        <v>25</v>
      </c>
      <c r="G439" s="3" t="s">
        <v>988</v>
      </c>
      <c r="H439" s="11">
        <v>25000</v>
      </c>
      <c r="I439" s="11"/>
      <c r="J439" s="3"/>
      <c r="K439" s="3"/>
      <c r="L439" s="3"/>
      <c r="M439" s="3"/>
      <c r="N439" s="4">
        <f t="shared" si="15"/>
        <v>-100</v>
      </c>
    </row>
    <row r="440" spans="1:14" ht="39" customHeight="1" x14ac:dyDescent="0.25">
      <c r="A440" t="str">
        <f t="shared" si="16"/>
        <v>054400033483500</v>
      </c>
      <c r="B440" s="3" t="s">
        <v>84</v>
      </c>
      <c r="C440" s="3" t="s">
        <v>950</v>
      </c>
      <c r="D440" s="3"/>
      <c r="E440" s="3" t="s">
        <v>989</v>
      </c>
      <c r="F440" s="3" t="s">
        <v>19</v>
      </c>
      <c r="G440" s="3" t="s">
        <v>990</v>
      </c>
      <c r="H440" s="11">
        <v>2000</v>
      </c>
      <c r="I440" s="11"/>
      <c r="J440" s="3"/>
      <c r="K440" s="3"/>
      <c r="L440" s="3"/>
      <c r="M440" s="3"/>
      <c r="N440" s="4">
        <f t="shared" si="15"/>
        <v>-100</v>
      </c>
    </row>
    <row r="441" spans="1:14" ht="39" customHeight="1" x14ac:dyDescent="0.25">
      <c r="A441" t="str">
        <f t="shared" si="16"/>
        <v>05440003365200</v>
      </c>
      <c r="B441" s="3" t="s">
        <v>84</v>
      </c>
      <c r="C441" s="3" t="s">
        <v>950</v>
      </c>
      <c r="D441" s="3"/>
      <c r="E441" s="3" t="s">
        <v>991</v>
      </c>
      <c r="F441" s="3" t="s">
        <v>22</v>
      </c>
      <c r="G441" s="3" t="s">
        <v>992</v>
      </c>
      <c r="H441" s="11">
        <v>22800</v>
      </c>
      <c r="I441" s="11"/>
      <c r="J441" s="3"/>
      <c r="K441" s="3"/>
      <c r="L441" s="3"/>
      <c r="M441" s="3"/>
      <c r="N441" s="4">
        <f t="shared" ref="N441:N504" si="17">IFERROR(((I441*100)/H441)-100,"")</f>
        <v>-100</v>
      </c>
    </row>
    <row r="442" spans="1:14" ht="39" customHeight="1" x14ac:dyDescent="0.25">
      <c r="A442" t="str">
        <f t="shared" si="16"/>
        <v>054400034394500</v>
      </c>
      <c r="B442" s="3" t="s">
        <v>84</v>
      </c>
      <c r="C442" s="3" t="s">
        <v>950</v>
      </c>
      <c r="D442" s="3"/>
      <c r="E442" s="3" t="s">
        <v>993</v>
      </c>
      <c r="F442" s="3" t="s">
        <v>22</v>
      </c>
      <c r="G442" s="3" t="s">
        <v>994</v>
      </c>
      <c r="H442" s="11">
        <v>6200</v>
      </c>
      <c r="I442" s="11"/>
      <c r="J442" s="3"/>
      <c r="K442" s="3"/>
      <c r="L442" s="3"/>
      <c r="M442" s="3"/>
      <c r="N442" s="4">
        <f t="shared" si="17"/>
        <v>-100</v>
      </c>
    </row>
    <row r="443" spans="1:14" ht="39" customHeight="1" x14ac:dyDescent="0.25">
      <c r="A443" t="str">
        <f t="shared" si="16"/>
        <v>054400034403200</v>
      </c>
      <c r="B443" s="3" t="s">
        <v>84</v>
      </c>
      <c r="C443" s="3" t="s">
        <v>950</v>
      </c>
      <c r="D443" s="3"/>
      <c r="E443" s="3" t="s">
        <v>995</v>
      </c>
      <c r="F443" s="3" t="s">
        <v>22</v>
      </c>
      <c r="G443" s="3" t="s">
        <v>996</v>
      </c>
      <c r="H443" s="11">
        <v>3600</v>
      </c>
      <c r="I443" s="11"/>
      <c r="J443" s="3"/>
      <c r="K443" s="3"/>
      <c r="L443" s="3"/>
      <c r="M443" s="3"/>
      <c r="N443" s="4">
        <f t="shared" si="17"/>
        <v>-100</v>
      </c>
    </row>
    <row r="444" spans="1:14" ht="39" customHeight="1" x14ac:dyDescent="0.25">
      <c r="A444" t="str">
        <f t="shared" si="16"/>
        <v>054400034483000</v>
      </c>
      <c r="B444" s="3" t="s">
        <v>84</v>
      </c>
      <c r="C444" s="3" t="s">
        <v>950</v>
      </c>
      <c r="D444" s="3"/>
      <c r="E444" s="3" t="s">
        <v>997</v>
      </c>
      <c r="F444" s="3" t="s">
        <v>25</v>
      </c>
      <c r="G444" s="3" t="s">
        <v>998</v>
      </c>
      <c r="H444" s="11">
        <v>7000</v>
      </c>
      <c r="I444" s="11"/>
      <c r="J444" s="3"/>
      <c r="K444" s="3"/>
      <c r="L444" s="3"/>
      <c r="M444" s="3"/>
      <c r="N444" s="4">
        <f t="shared" si="17"/>
        <v>-100</v>
      </c>
    </row>
    <row r="445" spans="1:14" ht="39" customHeight="1" x14ac:dyDescent="0.25">
      <c r="A445" t="str">
        <f t="shared" si="16"/>
        <v>054400034561800</v>
      </c>
      <c r="B445" s="3" t="s">
        <v>84</v>
      </c>
      <c r="C445" s="3" t="s">
        <v>950</v>
      </c>
      <c r="D445" s="3"/>
      <c r="E445" s="3" t="s">
        <v>999</v>
      </c>
      <c r="F445" s="3" t="s">
        <v>25</v>
      </c>
      <c r="G445" s="3" t="s">
        <v>1000</v>
      </c>
      <c r="H445" s="11">
        <v>4000</v>
      </c>
      <c r="I445" s="11" t="s">
        <v>26</v>
      </c>
      <c r="J445" s="3"/>
      <c r="K445" s="3"/>
      <c r="L445" s="3"/>
      <c r="M445" s="3"/>
      <c r="N445" s="4" t="str">
        <f t="shared" si="17"/>
        <v/>
      </c>
    </row>
    <row r="446" spans="1:14" ht="39" customHeight="1" x14ac:dyDescent="0.25">
      <c r="A446" t="str">
        <f t="shared" si="16"/>
        <v>054400034561700</v>
      </c>
      <c r="B446" s="3" t="s">
        <v>84</v>
      </c>
      <c r="C446" s="3" t="s">
        <v>1001</v>
      </c>
      <c r="D446" s="3"/>
      <c r="E446" s="3" t="s">
        <v>1002</v>
      </c>
      <c r="F446" s="3" t="s">
        <v>22</v>
      </c>
      <c r="G446" s="3" t="s">
        <v>1003</v>
      </c>
      <c r="H446" s="11">
        <v>17200</v>
      </c>
      <c r="I446" s="11"/>
      <c r="J446" s="3"/>
      <c r="K446" s="3"/>
      <c r="L446" s="3"/>
      <c r="M446" s="3"/>
      <c r="N446" s="4">
        <f t="shared" si="17"/>
        <v>-100</v>
      </c>
    </row>
    <row r="447" spans="1:14" ht="39" customHeight="1" x14ac:dyDescent="0.25">
      <c r="A447" t="str">
        <f t="shared" si="16"/>
        <v>0548000437947000</v>
      </c>
      <c r="B447" s="3" t="s">
        <v>84</v>
      </c>
      <c r="C447" s="3" t="s">
        <v>1001</v>
      </c>
      <c r="D447" s="3"/>
      <c r="E447" s="3" t="s">
        <v>1004</v>
      </c>
      <c r="F447" s="3" t="s">
        <v>80</v>
      </c>
      <c r="G447" s="3" t="s">
        <v>1005</v>
      </c>
      <c r="H447" s="11">
        <v>1500</v>
      </c>
      <c r="I447" s="11"/>
      <c r="J447" s="3"/>
      <c r="K447" s="3"/>
      <c r="L447" s="3"/>
      <c r="M447" s="3"/>
      <c r="N447" s="4">
        <f t="shared" si="17"/>
        <v>-100</v>
      </c>
    </row>
    <row r="448" spans="1:14" ht="39" customHeight="1" x14ac:dyDescent="0.25">
      <c r="A448" t="str">
        <f t="shared" si="16"/>
        <v>0548000489733000</v>
      </c>
      <c r="B448" s="3" t="s">
        <v>84</v>
      </c>
      <c r="C448" s="3" t="s">
        <v>1001</v>
      </c>
      <c r="D448" s="3"/>
      <c r="E448" s="3" t="s">
        <v>1006</v>
      </c>
      <c r="F448" s="3" t="s">
        <v>25</v>
      </c>
      <c r="G448" s="3" t="s">
        <v>1007</v>
      </c>
      <c r="H448" s="11">
        <v>32000</v>
      </c>
      <c r="I448" s="11"/>
      <c r="J448" s="3"/>
      <c r="K448" s="3"/>
      <c r="L448" s="3"/>
      <c r="M448" s="3"/>
      <c r="N448" s="4">
        <f t="shared" si="17"/>
        <v>-100</v>
      </c>
    </row>
    <row r="449" spans="1:14" ht="39" customHeight="1" x14ac:dyDescent="0.25">
      <c r="A449" t="str">
        <f t="shared" si="16"/>
        <v>0548000584940000</v>
      </c>
      <c r="B449" s="3" t="s">
        <v>84</v>
      </c>
      <c r="C449" s="3" t="s">
        <v>1001</v>
      </c>
      <c r="D449" s="3"/>
      <c r="E449" s="3" t="s">
        <v>1008</v>
      </c>
      <c r="F449" s="3" t="s">
        <v>30</v>
      </c>
      <c r="G449" s="3" t="s">
        <v>1009</v>
      </c>
      <c r="H449" s="11">
        <v>3500</v>
      </c>
      <c r="I449" s="11"/>
      <c r="J449" s="3"/>
      <c r="K449" s="3"/>
      <c r="L449" s="3"/>
      <c r="M449" s="3"/>
      <c r="N449" s="4">
        <f t="shared" si="17"/>
        <v>-100</v>
      </c>
    </row>
    <row r="450" spans="1:14" ht="39" customHeight="1" x14ac:dyDescent="0.25">
      <c r="A450" t="str">
        <f t="shared" si="16"/>
        <v>05480005984400</v>
      </c>
      <c r="B450" s="3" t="s">
        <v>84</v>
      </c>
      <c r="C450" s="3" t="s">
        <v>1001</v>
      </c>
      <c r="D450" s="3"/>
      <c r="E450" s="3" t="s">
        <v>1010</v>
      </c>
      <c r="F450" s="3" t="s">
        <v>22</v>
      </c>
      <c r="G450" s="3" t="s">
        <v>1011</v>
      </c>
      <c r="H450" s="11">
        <v>1500</v>
      </c>
      <c r="I450" s="11"/>
      <c r="J450" s="3"/>
      <c r="K450" s="3"/>
      <c r="L450" s="3"/>
      <c r="M450" s="3"/>
      <c r="N450" s="4">
        <f t="shared" si="17"/>
        <v>-100</v>
      </c>
    </row>
    <row r="451" spans="1:14" ht="39" customHeight="1" x14ac:dyDescent="0.25">
      <c r="A451" t="str">
        <f t="shared" si="16"/>
        <v>0548000601535000</v>
      </c>
      <c r="B451" s="3" t="s">
        <v>84</v>
      </c>
      <c r="C451" s="3" t="s">
        <v>1001</v>
      </c>
      <c r="D451" s="3"/>
      <c r="E451" s="3" t="s">
        <v>1012</v>
      </c>
      <c r="F451" s="3" t="s">
        <v>22</v>
      </c>
      <c r="G451" s="3" t="s">
        <v>1013</v>
      </c>
      <c r="H451" s="11">
        <v>2200</v>
      </c>
      <c r="I451" s="11"/>
      <c r="J451" s="3"/>
      <c r="K451" s="3"/>
      <c r="L451" s="3"/>
      <c r="M451" s="3"/>
      <c r="N451" s="4">
        <f t="shared" si="17"/>
        <v>-100</v>
      </c>
    </row>
    <row r="452" spans="1:14" ht="39" customHeight="1" x14ac:dyDescent="0.25">
      <c r="A452" t="str">
        <f t="shared" si="16"/>
        <v>054800060452500</v>
      </c>
      <c r="B452" s="3" t="s">
        <v>84</v>
      </c>
      <c r="C452" s="3" t="s">
        <v>1001</v>
      </c>
      <c r="D452" s="3"/>
      <c r="E452" s="3" t="s">
        <v>1014</v>
      </c>
      <c r="F452" s="3" t="s">
        <v>22</v>
      </c>
      <c r="G452" s="3" t="s">
        <v>1015</v>
      </c>
      <c r="H452" s="11">
        <v>3200</v>
      </c>
      <c r="I452" s="11"/>
      <c r="J452" s="3"/>
      <c r="K452" s="3"/>
      <c r="L452" s="3"/>
      <c r="M452" s="3"/>
      <c r="N452" s="4">
        <f t="shared" si="17"/>
        <v>-100</v>
      </c>
    </row>
    <row r="453" spans="1:14" ht="39" customHeight="1" x14ac:dyDescent="0.25">
      <c r="A453" t="str">
        <f t="shared" si="16"/>
        <v>054800060522000</v>
      </c>
      <c r="B453" s="3" t="s">
        <v>84</v>
      </c>
      <c r="C453" s="3" t="s">
        <v>1001</v>
      </c>
      <c r="D453" s="3"/>
      <c r="E453" s="3" t="s">
        <v>1016</v>
      </c>
      <c r="F453" s="3" t="s">
        <v>22</v>
      </c>
      <c r="G453" s="3" t="s">
        <v>1017</v>
      </c>
      <c r="H453" s="11">
        <v>8300</v>
      </c>
      <c r="I453" s="11"/>
      <c r="J453" s="3"/>
      <c r="K453" s="3"/>
      <c r="L453" s="3"/>
      <c r="M453" s="3"/>
      <c r="N453" s="4">
        <f t="shared" si="17"/>
        <v>-100</v>
      </c>
    </row>
    <row r="454" spans="1:14" ht="39" customHeight="1" x14ac:dyDescent="0.25">
      <c r="A454" t="str">
        <f t="shared" si="16"/>
        <v>054800060761000</v>
      </c>
      <c r="B454" s="3" t="s">
        <v>84</v>
      </c>
      <c r="C454" s="3" t="s">
        <v>1001</v>
      </c>
      <c r="D454" s="3"/>
      <c r="E454" s="3" t="s">
        <v>1018</v>
      </c>
      <c r="F454" s="3" t="s">
        <v>56</v>
      </c>
      <c r="G454" s="3" t="s">
        <v>1019</v>
      </c>
      <c r="H454" s="11">
        <v>1200</v>
      </c>
      <c r="I454" s="11"/>
      <c r="J454" s="3"/>
      <c r="K454" s="3"/>
      <c r="L454" s="3"/>
      <c r="M454" s="3"/>
      <c r="N454" s="4">
        <f t="shared" si="17"/>
        <v>-100</v>
      </c>
    </row>
    <row r="455" spans="1:14" ht="39" customHeight="1" x14ac:dyDescent="0.25">
      <c r="A455" t="str">
        <f t="shared" si="16"/>
        <v>054800060983500</v>
      </c>
      <c r="B455" s="3" t="s">
        <v>84</v>
      </c>
      <c r="C455" s="3" t="s">
        <v>1001</v>
      </c>
      <c r="D455" s="3"/>
      <c r="E455" s="3" t="s">
        <v>1020</v>
      </c>
      <c r="F455" s="3" t="s">
        <v>25</v>
      </c>
      <c r="G455" s="3" t="s">
        <v>1021</v>
      </c>
      <c r="H455" s="11">
        <v>11000</v>
      </c>
      <c r="I455" s="11"/>
      <c r="J455" s="3"/>
      <c r="K455" s="3"/>
      <c r="L455" s="3"/>
      <c r="M455" s="3"/>
      <c r="N455" s="4">
        <f t="shared" si="17"/>
        <v>-100</v>
      </c>
    </row>
    <row r="456" spans="1:14" ht="39" customHeight="1" x14ac:dyDescent="0.25">
      <c r="A456" t="str">
        <f t="shared" si="16"/>
        <v>054800062439000</v>
      </c>
      <c r="B456" s="3" t="s">
        <v>84</v>
      </c>
      <c r="C456" s="3" t="s">
        <v>1001</v>
      </c>
      <c r="D456" s="3"/>
      <c r="E456" s="3" t="s">
        <v>1022</v>
      </c>
      <c r="F456" s="3" t="s">
        <v>62</v>
      </c>
      <c r="G456" s="3" t="s">
        <v>1023</v>
      </c>
      <c r="H456" s="11">
        <v>2200</v>
      </c>
      <c r="I456" s="11"/>
      <c r="J456" s="3"/>
      <c r="K456" s="3"/>
      <c r="L456" s="3"/>
      <c r="M456" s="3"/>
      <c r="N456" s="4">
        <f t="shared" si="17"/>
        <v>-100</v>
      </c>
    </row>
    <row r="457" spans="1:14" ht="39" customHeight="1" x14ac:dyDescent="0.25">
      <c r="A457" t="str">
        <f t="shared" si="16"/>
        <v>054800063612300</v>
      </c>
      <c r="B457" s="3" t="s">
        <v>84</v>
      </c>
      <c r="C457" s="3" t="s">
        <v>1001</v>
      </c>
      <c r="D457" s="3"/>
      <c r="E457" s="3" t="s">
        <v>1022</v>
      </c>
      <c r="F457" s="3" t="s">
        <v>33</v>
      </c>
      <c r="G457" s="3" t="s">
        <v>1024</v>
      </c>
      <c r="H457" s="11">
        <v>800</v>
      </c>
      <c r="I457" s="11"/>
      <c r="J457" s="3"/>
      <c r="K457" s="3"/>
      <c r="L457" s="3"/>
      <c r="M457" s="3"/>
      <c r="N457" s="4">
        <f t="shared" si="17"/>
        <v>-100</v>
      </c>
    </row>
    <row r="458" spans="1:14" ht="39" customHeight="1" x14ac:dyDescent="0.25">
      <c r="A458" t="str">
        <f t="shared" si="16"/>
        <v>9369000012412000</v>
      </c>
      <c r="B458" s="3" t="s">
        <v>84</v>
      </c>
      <c r="C458" s="3" t="s">
        <v>1001</v>
      </c>
      <c r="D458" s="3"/>
      <c r="E458" s="3" t="s">
        <v>1022</v>
      </c>
      <c r="F458" s="3" t="s">
        <v>56</v>
      </c>
      <c r="G458" s="3" t="s">
        <v>1025</v>
      </c>
      <c r="H458" s="11">
        <v>1300</v>
      </c>
      <c r="I458" s="11"/>
      <c r="J458" s="3"/>
      <c r="K458" s="3"/>
      <c r="L458" s="3"/>
      <c r="M458" s="3"/>
      <c r="N458" s="4">
        <f t="shared" si="17"/>
        <v>-100</v>
      </c>
    </row>
    <row r="459" spans="1:14" ht="39" customHeight="1" x14ac:dyDescent="0.25">
      <c r="A459" t="str">
        <f t="shared" si="16"/>
        <v>055100030152500</v>
      </c>
      <c r="B459" s="3" t="s">
        <v>84</v>
      </c>
      <c r="C459" s="3" t="s">
        <v>1001</v>
      </c>
      <c r="D459" s="3"/>
      <c r="E459" s="3" t="s">
        <v>1026</v>
      </c>
      <c r="F459" s="3" t="s">
        <v>25</v>
      </c>
      <c r="G459" s="3" t="s">
        <v>1027</v>
      </c>
      <c r="H459" s="11">
        <v>28500</v>
      </c>
      <c r="I459" s="11"/>
      <c r="J459" s="3"/>
      <c r="K459" s="3"/>
      <c r="L459" s="3"/>
      <c r="M459" s="3"/>
      <c r="N459" s="4">
        <f t="shared" si="17"/>
        <v>-100</v>
      </c>
    </row>
    <row r="460" spans="1:14" ht="39" customHeight="1" x14ac:dyDescent="0.25">
      <c r="A460" t="str">
        <f t="shared" si="16"/>
        <v>055100030161000</v>
      </c>
      <c r="B460" s="3" t="s">
        <v>84</v>
      </c>
      <c r="C460" s="3" t="s">
        <v>1001</v>
      </c>
      <c r="D460" s="3"/>
      <c r="E460" s="3" t="s">
        <v>1028</v>
      </c>
      <c r="F460" s="3" t="s">
        <v>25</v>
      </c>
      <c r="G460" s="3" t="s">
        <v>1029</v>
      </c>
      <c r="H460" s="11">
        <v>32000</v>
      </c>
      <c r="I460" s="11"/>
      <c r="J460" s="3"/>
      <c r="K460" s="3"/>
      <c r="L460" s="3"/>
      <c r="M460" s="3"/>
      <c r="N460" s="4">
        <f t="shared" si="17"/>
        <v>-100</v>
      </c>
    </row>
    <row r="461" spans="1:14" ht="39" customHeight="1" x14ac:dyDescent="0.25">
      <c r="A461" t="str">
        <f t="shared" si="16"/>
        <v>055100030171366</v>
      </c>
      <c r="B461" s="3" t="s">
        <v>84</v>
      </c>
      <c r="C461" s="3" t="s">
        <v>1001</v>
      </c>
      <c r="D461" s="3"/>
      <c r="E461" s="3" t="s">
        <v>1030</v>
      </c>
      <c r="F461" s="3" t="s">
        <v>22</v>
      </c>
      <c r="G461" s="3" t="s">
        <v>1031</v>
      </c>
      <c r="H461" s="11">
        <v>4500</v>
      </c>
      <c r="I461" s="11"/>
      <c r="J461" s="3"/>
      <c r="K461" s="3"/>
      <c r="L461" s="3"/>
      <c r="M461" s="3"/>
      <c r="N461" s="4">
        <f t="shared" si="17"/>
        <v>-100</v>
      </c>
    </row>
    <row r="462" spans="1:14" ht="39" customHeight="1" x14ac:dyDescent="0.25">
      <c r="A462" t="str">
        <f t="shared" si="16"/>
        <v>055100039101200</v>
      </c>
      <c r="B462" s="3" t="s">
        <v>84</v>
      </c>
      <c r="C462" s="3" t="s">
        <v>1001</v>
      </c>
      <c r="D462" s="3"/>
      <c r="E462" s="3" t="s">
        <v>1032</v>
      </c>
      <c r="F462" s="3" t="s">
        <v>22</v>
      </c>
      <c r="G462" s="3" t="s">
        <v>1033</v>
      </c>
      <c r="H462" s="11">
        <v>6200</v>
      </c>
      <c r="I462" s="11"/>
      <c r="J462" s="3"/>
      <c r="K462" s="3"/>
      <c r="L462" s="3"/>
      <c r="M462" s="3"/>
      <c r="N462" s="4">
        <f t="shared" si="17"/>
        <v>-100</v>
      </c>
    </row>
    <row r="463" spans="1:14" ht="39" customHeight="1" x14ac:dyDescent="0.25">
      <c r="A463" t="str">
        <f t="shared" si="16"/>
        <v>055100047702000</v>
      </c>
      <c r="B463" s="3" t="s">
        <v>84</v>
      </c>
      <c r="C463" s="3" t="s">
        <v>1001</v>
      </c>
      <c r="D463" s="3"/>
      <c r="E463" s="3" t="s">
        <v>1034</v>
      </c>
      <c r="F463" s="3" t="s">
        <v>25</v>
      </c>
      <c r="G463" s="3" t="s">
        <v>1035</v>
      </c>
      <c r="H463" s="11">
        <v>3300</v>
      </c>
      <c r="I463" s="11" t="s">
        <v>26</v>
      </c>
      <c r="J463" s="3"/>
      <c r="K463" s="3"/>
      <c r="L463" s="3"/>
      <c r="M463" s="3"/>
      <c r="N463" s="4" t="str">
        <f t="shared" si="17"/>
        <v/>
      </c>
    </row>
    <row r="464" spans="1:14" ht="39" customHeight="1" x14ac:dyDescent="0.25">
      <c r="A464" t="str">
        <f t="shared" si="16"/>
        <v>055100049753500</v>
      </c>
      <c r="B464" s="3" t="s">
        <v>84</v>
      </c>
      <c r="C464" s="3" t="s">
        <v>1001</v>
      </c>
      <c r="D464" s="3"/>
      <c r="E464" s="3" t="s">
        <v>1036</v>
      </c>
      <c r="F464" s="3" t="s">
        <v>25</v>
      </c>
      <c r="G464" s="3" t="s">
        <v>1037</v>
      </c>
      <c r="H464" s="11">
        <v>5500</v>
      </c>
      <c r="I464" s="11"/>
      <c r="J464" s="3"/>
      <c r="K464" s="3"/>
      <c r="L464" s="3"/>
      <c r="M464" s="3"/>
      <c r="N464" s="4">
        <f t="shared" si="17"/>
        <v>-100</v>
      </c>
    </row>
    <row r="465" spans="1:14" ht="39" customHeight="1" x14ac:dyDescent="0.25">
      <c r="A465" t="str">
        <f t="shared" si="16"/>
        <v>055100050371540</v>
      </c>
      <c r="B465" s="3" t="s">
        <v>84</v>
      </c>
      <c r="C465" s="3" t="s">
        <v>1001</v>
      </c>
      <c r="D465" s="3"/>
      <c r="E465" s="3" t="s">
        <v>1038</v>
      </c>
      <c r="F465" s="3" t="s">
        <v>22</v>
      </c>
      <c r="G465" s="3" t="s">
        <v>1039</v>
      </c>
      <c r="H465" s="11">
        <v>5500</v>
      </c>
      <c r="I465" s="11"/>
      <c r="J465" s="3"/>
      <c r="K465" s="3"/>
      <c r="L465" s="3"/>
      <c r="M465" s="3"/>
      <c r="N465" s="4">
        <f t="shared" si="17"/>
        <v>-100</v>
      </c>
    </row>
    <row r="466" spans="1:14" ht="39" customHeight="1" x14ac:dyDescent="0.25">
      <c r="A466" t="str">
        <f t="shared" si="16"/>
        <v>0551000518230000</v>
      </c>
      <c r="B466" s="3" t="s">
        <v>84</v>
      </c>
      <c r="C466" s="3" t="s">
        <v>1040</v>
      </c>
      <c r="D466" s="3"/>
      <c r="E466" s="3" t="s">
        <v>1041</v>
      </c>
      <c r="F466" s="3" t="s">
        <v>1042</v>
      </c>
      <c r="G466" s="3" t="s">
        <v>1043</v>
      </c>
      <c r="H466" s="11">
        <v>4000</v>
      </c>
      <c r="I466" s="11"/>
      <c r="J466" s="3"/>
      <c r="K466" s="3"/>
      <c r="L466" s="3"/>
      <c r="M466" s="3"/>
      <c r="N466" s="4">
        <f t="shared" si="17"/>
        <v>-100</v>
      </c>
    </row>
    <row r="467" spans="1:14" ht="39" customHeight="1" x14ac:dyDescent="0.25">
      <c r="A467" t="str">
        <f t="shared" si="16"/>
        <v>055100053671000</v>
      </c>
      <c r="B467" s="3" t="s">
        <v>84</v>
      </c>
      <c r="C467" s="3" t="s">
        <v>1040</v>
      </c>
      <c r="D467" s="3"/>
      <c r="E467" s="3" t="s">
        <v>1044</v>
      </c>
      <c r="F467" s="3" t="s">
        <v>36</v>
      </c>
      <c r="G467" s="3" t="s">
        <v>1045</v>
      </c>
      <c r="H467" s="11">
        <v>1500</v>
      </c>
      <c r="I467" s="11"/>
      <c r="J467" s="3"/>
      <c r="K467" s="3"/>
      <c r="L467" s="3"/>
      <c r="M467" s="3"/>
      <c r="N467" s="4">
        <f t="shared" si="17"/>
        <v>-100</v>
      </c>
    </row>
    <row r="468" spans="1:14" ht="39" customHeight="1" x14ac:dyDescent="0.25">
      <c r="A468" t="str">
        <f t="shared" si="16"/>
        <v>0551000538912500</v>
      </c>
      <c r="B468" s="3" t="s">
        <v>84</v>
      </c>
      <c r="C468" s="3" t="s">
        <v>1040</v>
      </c>
      <c r="D468" s="3"/>
      <c r="E468" s="3" t="s">
        <v>1046</v>
      </c>
      <c r="F468" s="3" t="s">
        <v>36</v>
      </c>
      <c r="G468" s="3" t="s">
        <v>1047</v>
      </c>
      <c r="H468" s="11">
        <v>8000</v>
      </c>
      <c r="I468" s="11"/>
      <c r="J468" s="3"/>
      <c r="K468" s="3"/>
      <c r="L468" s="3"/>
      <c r="M468" s="3"/>
      <c r="N468" s="4">
        <f t="shared" si="17"/>
        <v>-100</v>
      </c>
    </row>
    <row r="469" spans="1:14" ht="39" customHeight="1" x14ac:dyDescent="0.25">
      <c r="A469" t="str">
        <f t="shared" si="16"/>
        <v>055100054471500</v>
      </c>
      <c r="B469" s="3" t="s">
        <v>84</v>
      </c>
      <c r="C469" s="3" t="s">
        <v>1040</v>
      </c>
      <c r="D469" s="3"/>
      <c r="E469" s="3" t="s">
        <v>1048</v>
      </c>
      <c r="F469" s="3" t="s">
        <v>22</v>
      </c>
      <c r="G469" s="3" t="s">
        <v>1049</v>
      </c>
      <c r="H469" s="11">
        <v>17000</v>
      </c>
      <c r="I469" s="11"/>
      <c r="J469" s="3"/>
      <c r="K469" s="3"/>
      <c r="L469" s="3"/>
      <c r="M469" s="3"/>
      <c r="N469" s="4">
        <f t="shared" si="17"/>
        <v>-100</v>
      </c>
    </row>
    <row r="470" spans="1:14" ht="39" customHeight="1" x14ac:dyDescent="0.25">
      <c r="A470" t="str">
        <f t="shared" si="16"/>
        <v>05510005456200</v>
      </c>
      <c r="B470" s="3" t="s">
        <v>84</v>
      </c>
      <c r="C470" s="3" t="s">
        <v>1040</v>
      </c>
      <c r="D470" s="3"/>
      <c r="E470" s="3" t="s">
        <v>1050</v>
      </c>
      <c r="F470" s="3" t="s">
        <v>22</v>
      </c>
      <c r="G470" s="3" t="s">
        <v>1051</v>
      </c>
      <c r="H470" s="11">
        <v>500</v>
      </c>
      <c r="I470" s="11"/>
      <c r="J470" s="3"/>
      <c r="K470" s="3"/>
      <c r="L470" s="3"/>
      <c r="M470" s="3"/>
      <c r="N470" s="4">
        <f t="shared" si="17"/>
        <v>-100</v>
      </c>
    </row>
    <row r="471" spans="1:14" ht="39" customHeight="1" x14ac:dyDescent="0.25">
      <c r="A471" t="str">
        <f t="shared" si="16"/>
        <v>055100054599000</v>
      </c>
      <c r="B471" s="3" t="s">
        <v>84</v>
      </c>
      <c r="C471" s="3" t="s">
        <v>1040</v>
      </c>
      <c r="D471" s="3"/>
      <c r="E471" s="3" t="s">
        <v>1052</v>
      </c>
      <c r="F471" s="3" t="s">
        <v>41</v>
      </c>
      <c r="G471" s="3" t="s">
        <v>1053</v>
      </c>
      <c r="H471" s="11">
        <v>2500</v>
      </c>
      <c r="I471" s="11"/>
      <c r="J471" s="3"/>
      <c r="K471" s="3"/>
      <c r="L471" s="3"/>
      <c r="M471" s="3"/>
      <c r="N471" s="4">
        <f t="shared" si="17"/>
        <v>-100</v>
      </c>
    </row>
    <row r="472" spans="1:14" ht="39" customHeight="1" x14ac:dyDescent="0.25">
      <c r="A472" t="str">
        <f t="shared" si="16"/>
        <v>055100054637000</v>
      </c>
      <c r="B472" s="3" t="s">
        <v>84</v>
      </c>
      <c r="C472" s="3" t="s">
        <v>1040</v>
      </c>
      <c r="D472" s="3"/>
      <c r="E472" s="3" t="s">
        <v>1054</v>
      </c>
      <c r="F472" s="3" t="s">
        <v>22</v>
      </c>
      <c r="G472" s="3" t="s">
        <v>1055</v>
      </c>
      <c r="H472" s="11">
        <v>2500</v>
      </c>
      <c r="I472" s="11"/>
      <c r="J472" s="3"/>
      <c r="K472" s="3"/>
      <c r="L472" s="3"/>
      <c r="M472" s="3"/>
      <c r="N472" s="4">
        <f t="shared" si="17"/>
        <v>-100</v>
      </c>
    </row>
    <row r="473" spans="1:14" ht="39" customHeight="1" x14ac:dyDescent="0.25">
      <c r="A473" t="str">
        <f t="shared" si="16"/>
        <v>05510005490500</v>
      </c>
      <c r="B473" s="3" t="s">
        <v>84</v>
      </c>
      <c r="C473" s="3" t="s">
        <v>1040</v>
      </c>
      <c r="D473" s="3"/>
      <c r="E473" s="3" t="s">
        <v>1056</v>
      </c>
      <c r="F473" s="3" t="s">
        <v>36</v>
      </c>
      <c r="G473" s="3" t="s">
        <v>1057</v>
      </c>
      <c r="H473" s="11">
        <v>700</v>
      </c>
      <c r="I473" s="11"/>
      <c r="J473" s="3"/>
      <c r="K473" s="3"/>
      <c r="L473" s="3"/>
      <c r="M473" s="3"/>
      <c r="N473" s="4">
        <f t="shared" si="17"/>
        <v>-100</v>
      </c>
    </row>
    <row r="474" spans="1:14" ht="39" customHeight="1" x14ac:dyDescent="0.25">
      <c r="A474" t="str">
        <f t="shared" si="16"/>
        <v>055100055288000</v>
      </c>
      <c r="B474" s="3" t="s">
        <v>84</v>
      </c>
      <c r="C474" s="3" t="s">
        <v>1040</v>
      </c>
      <c r="D474" s="3"/>
      <c r="E474" s="3" t="s">
        <v>1058</v>
      </c>
      <c r="F474" s="3" t="s">
        <v>82</v>
      </c>
      <c r="G474" s="3" t="s">
        <v>1059</v>
      </c>
      <c r="H474" s="11">
        <v>1000</v>
      </c>
      <c r="I474" s="11"/>
      <c r="J474" s="3"/>
      <c r="K474" s="3"/>
      <c r="L474" s="3"/>
      <c r="M474" s="3"/>
      <c r="N474" s="4">
        <f t="shared" si="17"/>
        <v>-100</v>
      </c>
    </row>
    <row r="475" spans="1:14" ht="39" customHeight="1" x14ac:dyDescent="0.25">
      <c r="A475" t="str">
        <f t="shared" si="16"/>
        <v>055100055319000</v>
      </c>
      <c r="B475" s="3" t="s">
        <v>84</v>
      </c>
      <c r="C475" s="3" t="s">
        <v>1040</v>
      </c>
      <c r="D475" s="3" t="s">
        <v>1060</v>
      </c>
      <c r="E475" s="3" t="s">
        <v>1061</v>
      </c>
      <c r="F475" s="3" t="s">
        <v>59</v>
      </c>
      <c r="G475" s="3" t="s">
        <v>1062</v>
      </c>
      <c r="H475" s="11">
        <v>1299.96</v>
      </c>
      <c r="I475" s="11"/>
      <c r="J475" s="3"/>
      <c r="K475" s="3"/>
      <c r="L475" s="3"/>
      <c r="M475" s="3"/>
      <c r="N475" s="4">
        <f t="shared" si="17"/>
        <v>-100</v>
      </c>
    </row>
    <row r="476" spans="1:14" ht="39" customHeight="1" x14ac:dyDescent="0.25">
      <c r="A476" t="str">
        <f t="shared" si="16"/>
        <v>055100055444000</v>
      </c>
      <c r="B476" s="3" t="s">
        <v>84</v>
      </c>
      <c r="C476" s="3" t="s">
        <v>1040</v>
      </c>
      <c r="D476" s="3"/>
      <c r="E476" s="3" t="s">
        <v>1063</v>
      </c>
      <c r="F476" s="3" t="s">
        <v>25</v>
      </c>
      <c r="G476" s="3" t="s">
        <v>1064</v>
      </c>
      <c r="H476" s="11">
        <v>13000</v>
      </c>
      <c r="I476" s="11"/>
      <c r="J476" s="3"/>
      <c r="K476" s="3"/>
      <c r="L476" s="3"/>
      <c r="M476" s="3"/>
      <c r="N476" s="4">
        <f t="shared" si="17"/>
        <v>-100</v>
      </c>
    </row>
    <row r="477" spans="1:14" ht="39" customHeight="1" x14ac:dyDescent="0.25">
      <c r="A477" t="str">
        <f t="shared" si="16"/>
        <v>0551000554525000</v>
      </c>
      <c r="B477" s="3" t="s">
        <v>84</v>
      </c>
      <c r="C477" s="3" t="s">
        <v>1040</v>
      </c>
      <c r="D477" s="3"/>
      <c r="E477" s="3" t="s">
        <v>1065</v>
      </c>
      <c r="F477" s="3" t="s">
        <v>57</v>
      </c>
      <c r="G477" s="3" t="s">
        <v>1066</v>
      </c>
      <c r="H477" s="11">
        <v>10000</v>
      </c>
      <c r="I477" s="11"/>
      <c r="J477" s="3"/>
      <c r="K477" s="3"/>
      <c r="L477" s="3"/>
      <c r="M477" s="3"/>
      <c r="N477" s="4">
        <f t="shared" si="17"/>
        <v>-100</v>
      </c>
    </row>
    <row r="478" spans="1:14" ht="39" customHeight="1" x14ac:dyDescent="0.25">
      <c r="A478" t="str">
        <f t="shared" si="16"/>
        <v>055100055602000</v>
      </c>
      <c r="B478" s="3" t="s">
        <v>84</v>
      </c>
      <c r="C478" s="3" t="s">
        <v>1040</v>
      </c>
      <c r="D478" s="3"/>
      <c r="E478" s="3" t="s">
        <v>1067</v>
      </c>
      <c r="F478" s="3" t="s">
        <v>22</v>
      </c>
      <c r="G478" s="3" t="s">
        <v>1068</v>
      </c>
      <c r="H478" s="11">
        <v>14700</v>
      </c>
      <c r="I478" s="11"/>
      <c r="J478" s="3"/>
      <c r="K478" s="3"/>
      <c r="L478" s="3"/>
      <c r="M478" s="3"/>
      <c r="N478" s="4">
        <f t="shared" si="17"/>
        <v>-100</v>
      </c>
    </row>
    <row r="479" spans="1:14" ht="39" customHeight="1" x14ac:dyDescent="0.25">
      <c r="A479" t="str">
        <f t="shared" ref="A479:A542" si="18">E441&amp;H441</f>
        <v>0551000558422800</v>
      </c>
      <c r="B479" s="3" t="s">
        <v>84</v>
      </c>
      <c r="C479" s="3" t="s">
        <v>1040</v>
      </c>
      <c r="D479" s="3"/>
      <c r="E479" s="3" t="s">
        <v>1069</v>
      </c>
      <c r="F479" s="3" t="s">
        <v>36</v>
      </c>
      <c r="G479" s="3" t="s">
        <v>1070</v>
      </c>
      <c r="H479" s="11">
        <v>7000</v>
      </c>
      <c r="I479" s="11"/>
      <c r="J479" s="3"/>
      <c r="K479" s="3"/>
      <c r="L479" s="3"/>
      <c r="M479" s="3"/>
      <c r="N479" s="4">
        <f t="shared" si="17"/>
        <v>-100</v>
      </c>
    </row>
    <row r="480" spans="1:14" ht="39" customHeight="1" x14ac:dyDescent="0.25">
      <c r="A480" t="str">
        <f t="shared" si="18"/>
        <v>055100057146200</v>
      </c>
      <c r="B480" s="3" t="s">
        <v>84</v>
      </c>
      <c r="C480" s="3" t="s">
        <v>1040</v>
      </c>
      <c r="D480" s="3"/>
      <c r="E480" s="3" t="s">
        <v>1071</v>
      </c>
      <c r="F480" s="3" t="s">
        <v>40</v>
      </c>
      <c r="G480" s="3" t="s">
        <v>1072</v>
      </c>
      <c r="H480" s="11">
        <v>1500</v>
      </c>
      <c r="I480" s="11"/>
      <c r="J480" s="3"/>
      <c r="K480" s="3"/>
      <c r="L480" s="3"/>
      <c r="M480" s="3"/>
      <c r="N480" s="4">
        <f t="shared" si="17"/>
        <v>-100</v>
      </c>
    </row>
    <row r="481" spans="1:14" ht="39" customHeight="1" x14ac:dyDescent="0.25">
      <c r="A481" t="str">
        <f t="shared" si="18"/>
        <v>055100057153600</v>
      </c>
      <c r="B481" s="3" t="s">
        <v>84</v>
      </c>
      <c r="C481" s="3" t="s">
        <v>1040</v>
      </c>
      <c r="D481" s="3"/>
      <c r="E481" s="3" t="s">
        <v>1073</v>
      </c>
      <c r="F481" s="3" t="s">
        <v>34</v>
      </c>
      <c r="G481" s="3" t="s">
        <v>1074</v>
      </c>
      <c r="H481" s="11">
        <v>3000</v>
      </c>
      <c r="I481" s="11"/>
      <c r="J481" s="3"/>
      <c r="K481" s="3"/>
      <c r="L481" s="3"/>
      <c r="M481" s="3"/>
      <c r="N481" s="4">
        <f t="shared" si="17"/>
        <v>-100</v>
      </c>
    </row>
    <row r="482" spans="1:14" ht="39" customHeight="1" x14ac:dyDescent="0.25">
      <c r="A482" t="str">
        <f t="shared" si="18"/>
        <v>055100057537000</v>
      </c>
      <c r="B482" s="3" t="s">
        <v>84</v>
      </c>
      <c r="C482" s="3" t="s">
        <v>1040</v>
      </c>
      <c r="D482" s="3"/>
      <c r="E482" s="3" t="s">
        <v>1073</v>
      </c>
      <c r="F482" s="3" t="s">
        <v>19</v>
      </c>
      <c r="G482" s="3" t="s">
        <v>1075</v>
      </c>
      <c r="H482" s="11">
        <v>2500</v>
      </c>
      <c r="I482" s="11"/>
      <c r="J482" s="3"/>
      <c r="K482" s="3"/>
      <c r="L482" s="3"/>
      <c r="M482" s="3"/>
      <c r="N482" s="4">
        <f t="shared" si="17"/>
        <v>-100</v>
      </c>
    </row>
    <row r="483" spans="1:14" ht="39" customHeight="1" x14ac:dyDescent="0.25">
      <c r="A483" t="str">
        <f t="shared" si="18"/>
        <v>055100058524000</v>
      </c>
      <c r="B483" s="3" t="s">
        <v>84</v>
      </c>
      <c r="C483" s="3" t="s">
        <v>1040</v>
      </c>
      <c r="D483" s="3"/>
      <c r="E483" s="3" t="s">
        <v>1073</v>
      </c>
      <c r="F483" s="3" t="s">
        <v>36</v>
      </c>
      <c r="G483" s="3" t="s">
        <v>1076</v>
      </c>
      <c r="H483" s="11">
        <v>300</v>
      </c>
      <c r="I483" s="11"/>
      <c r="J483" s="3"/>
      <c r="K483" s="3"/>
      <c r="L483" s="3"/>
      <c r="M483" s="3"/>
      <c r="N483" s="4">
        <f t="shared" si="17"/>
        <v>-100</v>
      </c>
    </row>
    <row r="484" spans="1:14" ht="39" customHeight="1" x14ac:dyDescent="0.25">
      <c r="A484" t="str">
        <f t="shared" si="18"/>
        <v>0582000444317200</v>
      </c>
      <c r="B484" s="3" t="s">
        <v>84</v>
      </c>
      <c r="C484" s="3" t="s">
        <v>1040</v>
      </c>
      <c r="D484" s="3"/>
      <c r="E484" s="3" t="s">
        <v>1073</v>
      </c>
      <c r="F484" s="3" t="s">
        <v>60</v>
      </c>
      <c r="G484" s="3" t="s">
        <v>1077</v>
      </c>
      <c r="H484" s="11">
        <v>1600</v>
      </c>
      <c r="I484" s="11"/>
      <c r="J484" s="3"/>
      <c r="K484" s="3"/>
      <c r="L484" s="3"/>
      <c r="M484" s="3"/>
      <c r="N484" s="4">
        <f t="shared" si="17"/>
        <v>-100</v>
      </c>
    </row>
    <row r="485" spans="1:14" ht="39" customHeight="1" x14ac:dyDescent="0.25">
      <c r="A485" t="str">
        <f t="shared" si="18"/>
        <v>058200050701500</v>
      </c>
      <c r="B485" s="3" t="s">
        <v>84</v>
      </c>
      <c r="C485" s="3" t="s">
        <v>1040</v>
      </c>
      <c r="D485" s="3"/>
      <c r="E485" s="3" t="s">
        <v>1073</v>
      </c>
      <c r="F485" s="3" t="s">
        <v>36</v>
      </c>
      <c r="G485" s="3" t="s">
        <v>1078</v>
      </c>
      <c r="H485" s="11">
        <v>1500</v>
      </c>
      <c r="I485" s="11"/>
      <c r="J485" s="3"/>
      <c r="K485" s="3"/>
      <c r="L485" s="3"/>
      <c r="M485" s="3"/>
      <c r="N485" s="4">
        <f t="shared" si="17"/>
        <v>-100</v>
      </c>
    </row>
    <row r="486" spans="1:14" ht="39" customHeight="1" x14ac:dyDescent="0.25">
      <c r="A486" t="str">
        <f t="shared" si="18"/>
        <v>0582000531632000</v>
      </c>
      <c r="B486" s="3" t="s">
        <v>84</v>
      </c>
      <c r="C486" s="3" t="s">
        <v>1040</v>
      </c>
      <c r="D486" s="3"/>
      <c r="E486" s="3" t="s">
        <v>1073</v>
      </c>
      <c r="F486" s="3" t="s">
        <v>33</v>
      </c>
      <c r="G486" s="3" t="s">
        <v>1079</v>
      </c>
      <c r="H486" s="11">
        <v>1200</v>
      </c>
      <c r="I486" s="11"/>
      <c r="J486" s="3"/>
      <c r="K486" s="3"/>
      <c r="L486" s="3"/>
      <c r="M486" s="3"/>
      <c r="N486" s="4">
        <f t="shared" si="17"/>
        <v>-100</v>
      </c>
    </row>
    <row r="487" spans="1:14" ht="39" customHeight="1" x14ac:dyDescent="0.25">
      <c r="A487" t="str">
        <f t="shared" si="18"/>
        <v>058200054793500</v>
      </c>
      <c r="B487" s="3" t="s">
        <v>84</v>
      </c>
      <c r="C487" s="3" t="s">
        <v>1040</v>
      </c>
      <c r="D487" s="3"/>
      <c r="E487" s="3" t="s">
        <v>1073</v>
      </c>
      <c r="F487" s="3" t="s">
        <v>59</v>
      </c>
      <c r="G487" s="3" t="s">
        <v>1080</v>
      </c>
      <c r="H487" s="11">
        <v>2500</v>
      </c>
      <c r="I487" s="11"/>
      <c r="J487" s="3"/>
      <c r="K487" s="3"/>
      <c r="L487" s="3"/>
      <c r="M487" s="3"/>
      <c r="N487" s="4">
        <f t="shared" si="17"/>
        <v>-100</v>
      </c>
    </row>
    <row r="488" spans="1:14" ht="39" customHeight="1" x14ac:dyDescent="0.25">
      <c r="A488" t="str">
        <f t="shared" si="18"/>
        <v>058200059931500</v>
      </c>
      <c r="B488" s="3" t="s">
        <v>84</v>
      </c>
      <c r="C488" s="3" t="s">
        <v>1040</v>
      </c>
      <c r="D488" s="3"/>
      <c r="E488" s="3" t="s">
        <v>1073</v>
      </c>
      <c r="F488" s="3" t="s">
        <v>1081</v>
      </c>
      <c r="G488" s="3" t="s">
        <v>1082</v>
      </c>
      <c r="H488" s="11">
        <v>1000</v>
      </c>
      <c r="I488" s="11"/>
      <c r="J488" s="3"/>
      <c r="K488" s="3"/>
      <c r="L488" s="3"/>
      <c r="M488" s="3"/>
      <c r="N488" s="4">
        <f t="shared" si="17"/>
        <v>-100</v>
      </c>
    </row>
    <row r="489" spans="1:14" ht="39" customHeight="1" x14ac:dyDescent="0.25">
      <c r="A489" t="str">
        <f t="shared" si="18"/>
        <v>058200059972200</v>
      </c>
      <c r="B489" s="3" t="s">
        <v>84</v>
      </c>
      <c r="C489" s="3" t="s">
        <v>1040</v>
      </c>
      <c r="D489" s="3"/>
      <c r="E489" s="3" t="s">
        <v>1083</v>
      </c>
      <c r="F489" s="3" t="s">
        <v>19</v>
      </c>
      <c r="G489" s="3" t="s">
        <v>1084</v>
      </c>
      <c r="H489" s="11">
        <v>3000</v>
      </c>
      <c r="I489" s="11"/>
      <c r="J489" s="3"/>
      <c r="K489" s="3"/>
      <c r="L489" s="3"/>
      <c r="M489" s="3"/>
      <c r="N489" s="4">
        <f t="shared" si="17"/>
        <v>-100</v>
      </c>
    </row>
    <row r="490" spans="1:14" ht="39" customHeight="1" x14ac:dyDescent="0.25">
      <c r="A490" t="str">
        <f t="shared" si="18"/>
        <v>058200059983200</v>
      </c>
      <c r="B490" s="3" t="s">
        <v>84</v>
      </c>
      <c r="C490" s="3" t="s">
        <v>1040</v>
      </c>
      <c r="D490" s="3"/>
      <c r="E490" s="3" t="s">
        <v>1085</v>
      </c>
      <c r="F490" s="3" t="s">
        <v>82</v>
      </c>
      <c r="G490" s="3" t="s">
        <v>1086</v>
      </c>
      <c r="H490" s="11">
        <v>1700</v>
      </c>
      <c r="I490" s="11"/>
      <c r="J490" s="3"/>
      <c r="K490" s="3"/>
      <c r="L490" s="3"/>
      <c r="M490" s="3"/>
      <c r="N490" s="4">
        <f t="shared" si="17"/>
        <v>-100</v>
      </c>
    </row>
    <row r="491" spans="1:14" ht="39" customHeight="1" x14ac:dyDescent="0.25">
      <c r="A491" t="str">
        <f t="shared" si="18"/>
        <v>058200060428300</v>
      </c>
      <c r="B491" s="3" t="s">
        <v>84</v>
      </c>
      <c r="C491" s="3" t="s">
        <v>1040</v>
      </c>
      <c r="D491" s="3"/>
      <c r="E491" s="3" t="s">
        <v>1087</v>
      </c>
      <c r="F491" s="3" t="s">
        <v>33</v>
      </c>
      <c r="G491" s="3" t="s">
        <v>1088</v>
      </c>
      <c r="H491" s="11">
        <v>2300</v>
      </c>
      <c r="I491" s="11"/>
      <c r="J491" s="3"/>
      <c r="K491" s="3"/>
      <c r="L491" s="3"/>
      <c r="M491" s="3"/>
      <c r="N491" s="4">
        <f t="shared" si="17"/>
        <v>-100</v>
      </c>
    </row>
    <row r="492" spans="1:14" ht="39" customHeight="1" x14ac:dyDescent="0.25">
      <c r="A492" t="str">
        <f t="shared" si="18"/>
        <v>058200060471200</v>
      </c>
      <c r="B492" s="3" t="s">
        <v>84</v>
      </c>
      <c r="C492" s="3" t="s">
        <v>1040</v>
      </c>
      <c r="D492" s="3"/>
      <c r="E492" s="3" t="s">
        <v>1089</v>
      </c>
      <c r="F492" s="3" t="s">
        <v>22</v>
      </c>
      <c r="G492" s="3" t="s">
        <v>1090</v>
      </c>
      <c r="H492" s="11">
        <v>22400</v>
      </c>
      <c r="I492" s="11"/>
      <c r="J492" s="3"/>
      <c r="K492" s="3"/>
      <c r="L492" s="3"/>
      <c r="M492" s="3"/>
      <c r="N492" s="4">
        <f t="shared" si="17"/>
        <v>-100</v>
      </c>
    </row>
    <row r="493" spans="1:14" ht="39" customHeight="1" x14ac:dyDescent="0.25">
      <c r="A493" t="str">
        <f t="shared" si="18"/>
        <v>0582000605111000</v>
      </c>
      <c r="B493" s="3" t="s">
        <v>84</v>
      </c>
      <c r="C493" s="3" t="s">
        <v>1040</v>
      </c>
      <c r="D493" s="3"/>
      <c r="E493" s="3" t="s">
        <v>1091</v>
      </c>
      <c r="F493" s="3" t="s">
        <v>23</v>
      </c>
      <c r="G493" s="3" t="s">
        <v>1092</v>
      </c>
      <c r="H493" s="11">
        <v>1500</v>
      </c>
      <c r="I493" s="11"/>
      <c r="J493" s="3"/>
      <c r="K493" s="3"/>
      <c r="L493" s="3"/>
      <c r="M493" s="3"/>
      <c r="N493" s="4">
        <f t="shared" si="17"/>
        <v>-100</v>
      </c>
    </row>
    <row r="494" spans="1:14" ht="39" customHeight="1" x14ac:dyDescent="0.25">
      <c r="A494" t="str">
        <f t="shared" si="18"/>
        <v>058200060532200</v>
      </c>
      <c r="B494" s="3" t="s">
        <v>84</v>
      </c>
      <c r="C494" s="3" t="s">
        <v>1040</v>
      </c>
      <c r="D494" s="3"/>
      <c r="E494" s="3" t="s">
        <v>1093</v>
      </c>
      <c r="F494" s="3" t="s">
        <v>22</v>
      </c>
      <c r="G494" s="3" t="s">
        <v>1094</v>
      </c>
      <c r="H494" s="11">
        <v>4800</v>
      </c>
      <c r="I494" s="11"/>
      <c r="J494" s="3"/>
      <c r="K494" s="3"/>
      <c r="L494" s="3"/>
      <c r="M494" s="3"/>
      <c r="N494" s="4">
        <f t="shared" si="17"/>
        <v>-100</v>
      </c>
    </row>
    <row r="495" spans="1:14" ht="39" customHeight="1" x14ac:dyDescent="0.25">
      <c r="A495" t="str">
        <f t="shared" si="18"/>
        <v>05820006053800</v>
      </c>
      <c r="B495" s="3" t="s">
        <v>84</v>
      </c>
      <c r="C495" s="3" t="s">
        <v>1040</v>
      </c>
      <c r="D495" s="3"/>
      <c r="E495" s="3" t="s">
        <v>1095</v>
      </c>
      <c r="F495" s="3" t="s">
        <v>83</v>
      </c>
      <c r="G495" s="3" t="s">
        <v>1096</v>
      </c>
      <c r="H495" s="11">
        <v>5000</v>
      </c>
      <c r="I495" s="11"/>
      <c r="J495" s="3"/>
      <c r="K495" s="3"/>
      <c r="L495" s="3"/>
      <c r="M495" s="3"/>
      <c r="N495" s="4">
        <f t="shared" si="17"/>
        <v>-100</v>
      </c>
    </row>
    <row r="496" spans="1:14" ht="39" customHeight="1" x14ac:dyDescent="0.25">
      <c r="A496" t="str">
        <f t="shared" si="18"/>
        <v>058200060531300</v>
      </c>
      <c r="B496" s="3" t="s">
        <v>84</v>
      </c>
      <c r="C496" s="3" t="s">
        <v>1040</v>
      </c>
      <c r="D496" s="3"/>
      <c r="E496" s="3" t="s">
        <v>1097</v>
      </c>
      <c r="F496" s="3" t="s">
        <v>36</v>
      </c>
      <c r="G496" s="3" t="s">
        <v>1098</v>
      </c>
      <c r="H496" s="11">
        <v>2800</v>
      </c>
      <c r="I496" s="11"/>
      <c r="J496" s="3"/>
      <c r="K496" s="3"/>
      <c r="L496" s="3"/>
      <c r="M496" s="3"/>
      <c r="N496" s="4">
        <f t="shared" si="17"/>
        <v>-100</v>
      </c>
    </row>
    <row r="497" spans="1:14" ht="39" customHeight="1" x14ac:dyDescent="0.25">
      <c r="A497" t="str">
        <f t="shared" si="18"/>
        <v>0582000612728500</v>
      </c>
      <c r="B497" s="3" t="s">
        <v>84</v>
      </c>
      <c r="C497" s="3" t="s">
        <v>1040</v>
      </c>
      <c r="D497" s="3"/>
      <c r="E497" s="3" t="s">
        <v>1099</v>
      </c>
      <c r="F497" s="3" t="s">
        <v>22</v>
      </c>
      <c r="G497" s="3" t="s">
        <v>1100</v>
      </c>
      <c r="H497" s="11">
        <v>1200</v>
      </c>
      <c r="I497" s="11" t="s">
        <v>26</v>
      </c>
      <c r="J497" s="3"/>
      <c r="K497" s="3"/>
      <c r="L497" s="3"/>
      <c r="M497" s="3"/>
      <c r="N497" s="4" t="str">
        <f t="shared" si="17"/>
        <v/>
      </c>
    </row>
    <row r="498" spans="1:14" ht="39" customHeight="1" x14ac:dyDescent="0.25">
      <c r="A498" t="str">
        <f t="shared" si="18"/>
        <v>0582000612832000</v>
      </c>
      <c r="B498" s="3" t="s">
        <v>84</v>
      </c>
      <c r="C498" s="3" t="s">
        <v>1040</v>
      </c>
      <c r="D498" s="3"/>
      <c r="E498" s="3" t="s">
        <v>1101</v>
      </c>
      <c r="F498" s="3" t="s">
        <v>22</v>
      </c>
      <c r="G498" s="3" t="s">
        <v>1102</v>
      </c>
      <c r="H498" s="11">
        <v>9000</v>
      </c>
      <c r="I498" s="11"/>
      <c r="J498" s="3"/>
      <c r="K498" s="3"/>
      <c r="L498" s="3"/>
      <c r="M498" s="3"/>
      <c r="N498" s="4">
        <f t="shared" si="17"/>
        <v>-100</v>
      </c>
    </row>
    <row r="499" spans="1:14" ht="39" customHeight="1" x14ac:dyDescent="0.25">
      <c r="A499" t="str">
        <f t="shared" si="18"/>
        <v>058200063824500</v>
      </c>
      <c r="B499" s="3" t="s">
        <v>84</v>
      </c>
      <c r="C499" s="3" t="s">
        <v>1040</v>
      </c>
      <c r="D499" s="3"/>
      <c r="E499" s="3" t="s">
        <v>1103</v>
      </c>
      <c r="F499" s="3" t="s">
        <v>36</v>
      </c>
      <c r="G499" s="3" t="s">
        <v>1104</v>
      </c>
      <c r="H499" s="11">
        <v>5000</v>
      </c>
      <c r="I499" s="11"/>
      <c r="J499" s="3"/>
      <c r="K499" s="3"/>
      <c r="L499" s="3"/>
      <c r="M499" s="3"/>
      <c r="N499" s="4">
        <f t="shared" si="17"/>
        <v>-100</v>
      </c>
    </row>
    <row r="500" spans="1:14" ht="39" customHeight="1" x14ac:dyDescent="0.25">
      <c r="A500" t="str">
        <f t="shared" si="18"/>
        <v>058200064386200</v>
      </c>
      <c r="B500" s="3" t="s">
        <v>84</v>
      </c>
      <c r="C500" s="3" t="s">
        <v>1040</v>
      </c>
      <c r="D500" s="3"/>
      <c r="E500" s="3" t="s">
        <v>1105</v>
      </c>
      <c r="F500" s="3" t="s">
        <v>22</v>
      </c>
      <c r="G500" s="3" t="s">
        <v>1106</v>
      </c>
      <c r="H500" s="11">
        <v>600</v>
      </c>
      <c r="I500" s="11"/>
      <c r="J500" s="3"/>
      <c r="K500" s="3"/>
      <c r="L500" s="3"/>
      <c r="M500" s="3"/>
      <c r="N500" s="4">
        <f t="shared" si="17"/>
        <v>-100</v>
      </c>
    </row>
    <row r="501" spans="1:14" ht="39" customHeight="1" x14ac:dyDescent="0.25">
      <c r="A501" t="str">
        <f t="shared" si="18"/>
        <v>058200064463300</v>
      </c>
      <c r="B501" s="3" t="s">
        <v>84</v>
      </c>
      <c r="C501" s="3" t="s">
        <v>1107</v>
      </c>
      <c r="D501" s="3"/>
      <c r="E501" s="3" t="s">
        <v>1108</v>
      </c>
      <c r="F501" s="3" t="s">
        <v>47</v>
      </c>
      <c r="G501" s="3" t="s">
        <v>1109</v>
      </c>
      <c r="H501" s="11">
        <v>400</v>
      </c>
      <c r="I501" s="11"/>
      <c r="J501" s="3"/>
      <c r="K501" s="3"/>
      <c r="L501" s="3"/>
      <c r="M501" s="3"/>
      <c r="N501" s="4">
        <f t="shared" si="17"/>
        <v>-100</v>
      </c>
    </row>
    <row r="502" spans="1:14" ht="39" customHeight="1" x14ac:dyDescent="0.25">
      <c r="A502" t="str">
        <f t="shared" si="18"/>
        <v>058200064695500</v>
      </c>
      <c r="B502" s="3" t="s">
        <v>84</v>
      </c>
      <c r="C502" s="3" t="s">
        <v>1107</v>
      </c>
      <c r="D502" s="3"/>
      <c r="E502" s="3" t="s">
        <v>1110</v>
      </c>
      <c r="F502" s="3" t="s">
        <v>53</v>
      </c>
      <c r="G502" s="3" t="s">
        <v>1111</v>
      </c>
      <c r="H502" s="11">
        <v>900</v>
      </c>
      <c r="I502" s="11"/>
      <c r="J502" s="3"/>
      <c r="K502" s="3"/>
      <c r="L502" s="3"/>
      <c r="M502" s="3"/>
      <c r="N502" s="4">
        <f t="shared" si="17"/>
        <v>-100</v>
      </c>
    </row>
    <row r="503" spans="1:14" ht="39" customHeight="1" x14ac:dyDescent="0.25">
      <c r="A503" t="str">
        <f t="shared" si="18"/>
        <v>058200065245500</v>
      </c>
      <c r="B503" s="3" t="s">
        <v>84</v>
      </c>
      <c r="C503" s="3" t="s">
        <v>1107</v>
      </c>
      <c r="D503" s="3"/>
      <c r="E503" s="3" t="s">
        <v>1112</v>
      </c>
      <c r="F503" s="3" t="s">
        <v>22</v>
      </c>
      <c r="G503" s="3" t="s">
        <v>1113</v>
      </c>
      <c r="H503" s="11">
        <v>4600</v>
      </c>
      <c r="I503" s="11"/>
      <c r="J503" s="3"/>
      <c r="K503" s="3"/>
      <c r="L503" s="3"/>
      <c r="M503" s="3"/>
      <c r="N503" s="4">
        <f t="shared" si="17"/>
        <v>-100</v>
      </c>
    </row>
    <row r="504" spans="1:14" ht="39" customHeight="1" x14ac:dyDescent="0.25">
      <c r="A504" t="str">
        <f t="shared" si="18"/>
        <v>058700028464000</v>
      </c>
      <c r="B504" s="3" t="s">
        <v>84</v>
      </c>
      <c r="C504" s="3" t="s">
        <v>1107</v>
      </c>
      <c r="D504" s="3"/>
      <c r="E504" s="3" t="s">
        <v>1114</v>
      </c>
      <c r="F504" s="3" t="s">
        <v>36</v>
      </c>
      <c r="G504" s="3" t="s">
        <v>1115</v>
      </c>
      <c r="H504" s="11">
        <v>300</v>
      </c>
      <c r="I504" s="11"/>
      <c r="J504" s="3"/>
      <c r="K504" s="3"/>
      <c r="L504" s="3"/>
      <c r="M504" s="3"/>
      <c r="N504" s="4">
        <f t="shared" si="17"/>
        <v>-100</v>
      </c>
    </row>
    <row r="505" spans="1:14" ht="39" customHeight="1" x14ac:dyDescent="0.25">
      <c r="A505" t="str">
        <f t="shared" si="18"/>
        <v>058700028631500</v>
      </c>
      <c r="B505" s="3" t="s">
        <v>84</v>
      </c>
      <c r="C505" s="3" t="s">
        <v>1107</v>
      </c>
      <c r="D505" s="3"/>
      <c r="E505" s="3" t="s">
        <v>1116</v>
      </c>
      <c r="F505" s="3" t="s">
        <v>44</v>
      </c>
      <c r="G505" s="3" t="s">
        <v>1117</v>
      </c>
      <c r="H505" s="11">
        <v>8000</v>
      </c>
      <c r="I505" s="11"/>
      <c r="J505" s="3"/>
      <c r="K505" s="3"/>
      <c r="L505" s="3"/>
      <c r="M505" s="3"/>
      <c r="N505" s="4">
        <f t="shared" ref="N505:N568" si="19">IFERROR(((I505*100)/H505)-100,"")</f>
        <v>-100</v>
      </c>
    </row>
    <row r="506" spans="1:14" ht="39" customHeight="1" x14ac:dyDescent="0.25">
      <c r="A506" t="str">
        <f t="shared" si="18"/>
        <v>058700051938000</v>
      </c>
      <c r="B506" s="3" t="s">
        <v>84</v>
      </c>
      <c r="C506" s="3" t="s">
        <v>1107</v>
      </c>
      <c r="D506" s="3"/>
      <c r="E506" s="3" t="s">
        <v>1118</v>
      </c>
      <c r="F506" s="3" t="s">
        <v>36</v>
      </c>
      <c r="G506" s="3" t="s">
        <v>1119</v>
      </c>
      <c r="H506" s="11">
        <v>200</v>
      </c>
      <c r="I506" s="11"/>
      <c r="J506" s="3"/>
      <c r="K506" s="3"/>
      <c r="L506" s="3"/>
      <c r="M506" s="3"/>
      <c r="N506" s="4">
        <f t="shared" si="19"/>
        <v>-100</v>
      </c>
    </row>
    <row r="507" spans="1:14" ht="39" customHeight="1" x14ac:dyDescent="0.25">
      <c r="A507" t="str">
        <f t="shared" si="18"/>
        <v>0587000533317000</v>
      </c>
      <c r="B507" s="3" t="s">
        <v>84</v>
      </c>
      <c r="C507" s="3" t="s">
        <v>1107</v>
      </c>
      <c r="D507" s="3"/>
      <c r="E507" s="3" t="s">
        <v>1120</v>
      </c>
      <c r="F507" s="3" t="s">
        <v>16</v>
      </c>
      <c r="G507" s="3" t="s">
        <v>1121</v>
      </c>
      <c r="H507" s="11">
        <v>15000</v>
      </c>
      <c r="I507" s="11"/>
      <c r="J507" s="3"/>
      <c r="K507" s="3"/>
      <c r="L507" s="3"/>
      <c r="M507" s="3"/>
      <c r="N507" s="4">
        <f t="shared" si="19"/>
        <v>-100</v>
      </c>
    </row>
    <row r="508" spans="1:14" ht="39" customHeight="1" x14ac:dyDescent="0.25">
      <c r="A508" t="str">
        <f t="shared" si="18"/>
        <v>05870005347500</v>
      </c>
      <c r="B508" s="3" t="s">
        <v>84</v>
      </c>
      <c r="C508" s="3" t="s">
        <v>1107</v>
      </c>
      <c r="D508" s="3"/>
      <c r="E508" s="3" t="s">
        <v>1122</v>
      </c>
      <c r="F508" s="3" t="s">
        <v>24</v>
      </c>
      <c r="G508" s="3" t="s">
        <v>1123</v>
      </c>
      <c r="H508" s="11">
        <v>70000</v>
      </c>
      <c r="I508" s="11"/>
      <c r="J508" s="3"/>
      <c r="K508" s="3"/>
      <c r="L508" s="3"/>
      <c r="M508" s="3"/>
      <c r="N508" s="4">
        <f t="shared" si="19"/>
        <v>-100</v>
      </c>
    </row>
    <row r="509" spans="1:14" ht="39" customHeight="1" x14ac:dyDescent="0.25">
      <c r="A509" t="str">
        <f t="shared" si="18"/>
        <v>058700053872500</v>
      </c>
      <c r="B509" s="3" t="s">
        <v>84</v>
      </c>
      <c r="C509" s="3" t="s">
        <v>1107</v>
      </c>
      <c r="D509" s="3"/>
      <c r="E509" s="3" t="s">
        <v>1124</v>
      </c>
      <c r="F509" s="3" t="s">
        <v>22</v>
      </c>
      <c r="G509" s="3" t="s">
        <v>1125</v>
      </c>
      <c r="H509" s="11">
        <v>5000</v>
      </c>
      <c r="I509" s="11"/>
      <c r="J509" s="3"/>
      <c r="K509" s="3"/>
      <c r="L509" s="3"/>
      <c r="M509" s="3"/>
      <c r="N509" s="4">
        <f t="shared" si="19"/>
        <v>-100</v>
      </c>
    </row>
    <row r="510" spans="1:14" ht="39" customHeight="1" x14ac:dyDescent="0.25">
      <c r="A510" t="str">
        <f t="shared" si="18"/>
        <v>058700054262500</v>
      </c>
      <c r="B510" s="3" t="s">
        <v>84</v>
      </c>
      <c r="C510" s="3" t="s">
        <v>1107</v>
      </c>
      <c r="D510" s="3"/>
      <c r="E510" s="3" t="s">
        <v>1126</v>
      </c>
      <c r="F510" s="3" t="s">
        <v>636</v>
      </c>
      <c r="G510" s="3" t="s">
        <v>1127</v>
      </c>
      <c r="H510" s="11">
        <v>12000</v>
      </c>
      <c r="I510" s="11"/>
      <c r="J510" s="3"/>
      <c r="K510" s="3"/>
      <c r="L510" s="3"/>
      <c r="M510" s="3"/>
      <c r="N510" s="4">
        <f t="shared" si="19"/>
        <v>-100</v>
      </c>
    </row>
    <row r="511" spans="1:14" ht="39" customHeight="1" x14ac:dyDescent="0.25">
      <c r="A511" t="str">
        <f t="shared" si="18"/>
        <v>05870005646700</v>
      </c>
      <c r="B511" s="3" t="s">
        <v>84</v>
      </c>
      <c r="C511" s="3" t="s">
        <v>1107</v>
      </c>
      <c r="D511" s="3"/>
      <c r="E511" s="3" t="s">
        <v>1128</v>
      </c>
      <c r="F511" s="3" t="s">
        <v>22</v>
      </c>
      <c r="G511" s="3" t="s">
        <v>1129</v>
      </c>
      <c r="H511" s="11">
        <v>6000</v>
      </c>
      <c r="I511" s="11"/>
      <c r="J511" s="3"/>
      <c r="K511" s="3"/>
      <c r="L511" s="3"/>
      <c r="M511" s="3"/>
      <c r="N511" s="4">
        <f t="shared" si="19"/>
        <v>-100</v>
      </c>
    </row>
    <row r="512" spans="1:14" ht="39" customHeight="1" x14ac:dyDescent="0.25">
      <c r="A512" t="str">
        <f t="shared" si="18"/>
        <v>058700056481000</v>
      </c>
      <c r="B512" s="3" t="s">
        <v>84</v>
      </c>
      <c r="C512" s="3" t="s">
        <v>1107</v>
      </c>
      <c r="D512" s="3"/>
      <c r="E512" s="3" t="s">
        <v>1130</v>
      </c>
      <c r="F512" s="3" t="s">
        <v>22</v>
      </c>
      <c r="G512" s="3" t="s">
        <v>1131</v>
      </c>
      <c r="H512" s="11">
        <v>2500</v>
      </c>
      <c r="I512" s="11"/>
      <c r="J512" s="3"/>
      <c r="K512" s="3"/>
      <c r="L512" s="3"/>
      <c r="M512" s="3"/>
      <c r="N512" s="4">
        <f t="shared" si="19"/>
        <v>-100</v>
      </c>
    </row>
    <row r="513" spans="1:14" ht="39" customHeight="1" x14ac:dyDescent="0.25">
      <c r="A513" t="str">
        <f t="shared" si="18"/>
        <v>058700056551299,96</v>
      </c>
      <c r="B513" s="3" t="s">
        <v>84</v>
      </c>
      <c r="C513" s="3" t="s">
        <v>1107</v>
      </c>
      <c r="D513" s="3"/>
      <c r="E513" s="3" t="s">
        <v>1132</v>
      </c>
      <c r="F513" s="3" t="s">
        <v>25</v>
      </c>
      <c r="G513" s="3" t="s">
        <v>1133</v>
      </c>
      <c r="H513" s="11">
        <v>42000</v>
      </c>
      <c r="I513" s="11"/>
      <c r="J513" s="3"/>
      <c r="K513" s="3"/>
      <c r="L513" s="3"/>
      <c r="M513" s="3"/>
      <c r="N513" s="4">
        <f t="shared" si="19"/>
        <v>-100</v>
      </c>
    </row>
    <row r="514" spans="1:14" ht="39" customHeight="1" x14ac:dyDescent="0.25">
      <c r="A514" t="str">
        <f t="shared" si="18"/>
        <v>0587000567113000</v>
      </c>
      <c r="B514" s="3" t="s">
        <v>84</v>
      </c>
      <c r="C514" s="3" t="s">
        <v>1107</v>
      </c>
      <c r="D514" s="3"/>
      <c r="E514" s="3" t="s">
        <v>1134</v>
      </c>
      <c r="F514" s="3" t="s">
        <v>22</v>
      </c>
      <c r="G514" s="3" t="s">
        <v>1135</v>
      </c>
      <c r="H514" s="11">
        <v>20000</v>
      </c>
      <c r="I514" s="11" t="s">
        <v>26</v>
      </c>
      <c r="J514" s="3"/>
      <c r="K514" s="3"/>
      <c r="L514" s="3"/>
      <c r="M514" s="3"/>
      <c r="N514" s="4" t="str">
        <f t="shared" si="19"/>
        <v/>
      </c>
    </row>
    <row r="515" spans="1:14" ht="39" customHeight="1" x14ac:dyDescent="0.25">
      <c r="A515" t="str">
        <f t="shared" si="18"/>
        <v>0587000567410000</v>
      </c>
      <c r="B515" s="3" t="s">
        <v>84</v>
      </c>
      <c r="C515" s="3" t="s">
        <v>1107</v>
      </c>
      <c r="D515" s="3"/>
      <c r="E515" s="3" t="s">
        <v>1136</v>
      </c>
      <c r="F515" s="3" t="s">
        <v>43</v>
      </c>
      <c r="G515" s="3" t="s">
        <v>1137</v>
      </c>
      <c r="H515" s="11">
        <v>1000</v>
      </c>
      <c r="I515" s="11"/>
      <c r="J515" s="3"/>
      <c r="K515" s="3"/>
      <c r="L515" s="3"/>
      <c r="M515" s="3"/>
      <c r="N515" s="4">
        <f t="shared" si="19"/>
        <v>-100</v>
      </c>
    </row>
    <row r="516" spans="1:14" ht="39" customHeight="1" x14ac:dyDescent="0.25">
      <c r="A516" t="str">
        <f t="shared" si="18"/>
        <v>0587000567614700</v>
      </c>
      <c r="B516" s="3" t="s">
        <v>84</v>
      </c>
      <c r="C516" s="3" t="s">
        <v>1107</v>
      </c>
      <c r="D516" s="3"/>
      <c r="E516" s="3" t="s">
        <v>1138</v>
      </c>
      <c r="F516" s="3" t="s">
        <v>39</v>
      </c>
      <c r="G516" s="3" t="s">
        <v>1139</v>
      </c>
      <c r="H516" s="11">
        <v>1400</v>
      </c>
      <c r="I516" s="11"/>
      <c r="J516" s="3"/>
      <c r="K516" s="3"/>
      <c r="L516" s="3"/>
      <c r="M516" s="3"/>
      <c r="N516" s="4">
        <f t="shared" si="19"/>
        <v>-100</v>
      </c>
    </row>
    <row r="517" spans="1:14" ht="39" customHeight="1" x14ac:dyDescent="0.25">
      <c r="A517" t="str">
        <f t="shared" si="18"/>
        <v>058700056987000</v>
      </c>
      <c r="B517" s="3" t="s">
        <v>84</v>
      </c>
      <c r="C517" s="3" t="s">
        <v>1107</v>
      </c>
      <c r="D517" s="3"/>
      <c r="E517" s="3" t="s">
        <v>1140</v>
      </c>
      <c r="F517" s="3" t="s">
        <v>44</v>
      </c>
      <c r="G517" s="3" t="s">
        <v>1141</v>
      </c>
      <c r="H517" s="11">
        <v>2000</v>
      </c>
      <c r="I517" s="11"/>
      <c r="J517" s="3"/>
      <c r="K517" s="3"/>
      <c r="L517" s="3"/>
      <c r="M517" s="3"/>
      <c r="N517" s="4">
        <f t="shared" si="19"/>
        <v>-100</v>
      </c>
    </row>
    <row r="518" spans="1:14" ht="39" customHeight="1" x14ac:dyDescent="0.25">
      <c r="A518" t="str">
        <f t="shared" si="18"/>
        <v>058700057171500</v>
      </c>
      <c r="B518" s="3" t="s">
        <v>84</v>
      </c>
      <c r="C518" s="3" t="s">
        <v>1107</v>
      </c>
      <c r="D518" s="3"/>
      <c r="E518" s="3" t="s">
        <v>1140</v>
      </c>
      <c r="F518" s="3" t="s">
        <v>23</v>
      </c>
      <c r="G518" s="3" t="s">
        <v>1142</v>
      </c>
      <c r="H518" s="11">
        <v>2500</v>
      </c>
      <c r="I518" s="11"/>
      <c r="J518" s="3"/>
      <c r="K518" s="3"/>
      <c r="L518" s="3"/>
      <c r="M518" s="3"/>
      <c r="N518" s="4">
        <f t="shared" si="19"/>
        <v>-100</v>
      </c>
    </row>
    <row r="519" spans="1:14" ht="39" customHeight="1" x14ac:dyDescent="0.25">
      <c r="A519" t="str">
        <f t="shared" si="18"/>
        <v>058700057243000</v>
      </c>
      <c r="B519" s="3" t="s">
        <v>84</v>
      </c>
      <c r="C519" s="3" t="s">
        <v>1107</v>
      </c>
      <c r="D519" s="3"/>
      <c r="E519" s="3" t="s">
        <v>1143</v>
      </c>
      <c r="F519" s="3" t="s">
        <v>22</v>
      </c>
      <c r="G519" s="3" t="s">
        <v>1144</v>
      </c>
      <c r="H519" s="11">
        <v>5000</v>
      </c>
      <c r="I519" s="11"/>
      <c r="J519" s="3"/>
      <c r="K519" s="3"/>
      <c r="L519" s="3"/>
      <c r="M519" s="3"/>
      <c r="N519" s="4">
        <f t="shared" si="19"/>
        <v>-100</v>
      </c>
    </row>
    <row r="520" spans="1:14" ht="39" customHeight="1" x14ac:dyDescent="0.25">
      <c r="A520" t="str">
        <f t="shared" si="18"/>
        <v>058700057242500</v>
      </c>
      <c r="B520" s="3" t="s">
        <v>84</v>
      </c>
      <c r="C520" s="3" t="s">
        <v>1107</v>
      </c>
      <c r="D520" s="3"/>
      <c r="E520" s="3" t="s">
        <v>1145</v>
      </c>
      <c r="F520" s="3" t="s">
        <v>22</v>
      </c>
      <c r="G520" s="3" t="s">
        <v>1146</v>
      </c>
      <c r="H520" s="11">
        <v>37000</v>
      </c>
      <c r="I520" s="11"/>
      <c r="J520" s="3"/>
      <c r="K520" s="3"/>
      <c r="L520" s="3"/>
      <c r="M520" s="3"/>
      <c r="N520" s="4">
        <f t="shared" si="19"/>
        <v>-100</v>
      </c>
    </row>
    <row r="521" spans="1:14" ht="39" customHeight="1" x14ac:dyDescent="0.25">
      <c r="A521" t="str">
        <f t="shared" si="18"/>
        <v>05870005724300</v>
      </c>
      <c r="B521" s="3" t="s">
        <v>84</v>
      </c>
      <c r="C521" s="3" t="s">
        <v>1107</v>
      </c>
      <c r="D521" s="3"/>
      <c r="E521" s="3" t="s">
        <v>1145</v>
      </c>
      <c r="F521" s="3" t="s">
        <v>22</v>
      </c>
      <c r="G521" s="3" t="s">
        <v>1147</v>
      </c>
      <c r="H521" s="11">
        <v>16000</v>
      </c>
      <c r="I521" s="11"/>
      <c r="J521" s="3"/>
      <c r="K521" s="3"/>
      <c r="L521" s="3"/>
      <c r="M521" s="3"/>
      <c r="N521" s="4">
        <f t="shared" si="19"/>
        <v>-100</v>
      </c>
    </row>
    <row r="522" spans="1:14" ht="39" customHeight="1" x14ac:dyDescent="0.25">
      <c r="A522" t="str">
        <f t="shared" si="18"/>
        <v>058700057241600</v>
      </c>
      <c r="B522" s="3" t="s">
        <v>84</v>
      </c>
      <c r="C522" s="3" t="s">
        <v>1107</v>
      </c>
      <c r="D522" s="3"/>
      <c r="E522" s="3" t="s">
        <v>1148</v>
      </c>
      <c r="F522" s="3" t="s">
        <v>44</v>
      </c>
      <c r="G522" s="3" t="s">
        <v>1149</v>
      </c>
      <c r="H522" s="11">
        <v>1700</v>
      </c>
      <c r="I522" s="11"/>
      <c r="J522" s="3"/>
      <c r="K522" s="3"/>
      <c r="L522" s="3"/>
      <c r="M522" s="3"/>
      <c r="N522" s="4">
        <f t="shared" si="19"/>
        <v>-100</v>
      </c>
    </row>
    <row r="523" spans="1:14" ht="39" customHeight="1" x14ac:dyDescent="0.25">
      <c r="A523" t="str">
        <f t="shared" si="18"/>
        <v>058700057241500</v>
      </c>
      <c r="B523" s="3" t="s">
        <v>84</v>
      </c>
      <c r="C523" s="3" t="s">
        <v>1107</v>
      </c>
      <c r="D523" s="3"/>
      <c r="E523" s="3" t="s">
        <v>1150</v>
      </c>
      <c r="F523" s="3" t="s">
        <v>25</v>
      </c>
      <c r="G523" s="3" t="s">
        <v>1151</v>
      </c>
      <c r="H523" s="11">
        <v>26000</v>
      </c>
      <c r="I523" s="11"/>
      <c r="J523" s="3"/>
      <c r="K523" s="3"/>
      <c r="L523" s="3"/>
      <c r="M523" s="3"/>
      <c r="N523" s="4">
        <f t="shared" si="19"/>
        <v>-100</v>
      </c>
    </row>
    <row r="524" spans="1:14" ht="39" customHeight="1" x14ac:dyDescent="0.25">
      <c r="A524" t="str">
        <f t="shared" si="18"/>
        <v>058700057241200</v>
      </c>
      <c r="B524" s="3" t="s">
        <v>84</v>
      </c>
      <c r="C524" s="3" t="s">
        <v>1152</v>
      </c>
      <c r="D524" s="3"/>
      <c r="E524" s="3" t="s">
        <v>1153</v>
      </c>
      <c r="F524" s="3" t="s">
        <v>25</v>
      </c>
      <c r="G524" s="3" t="s">
        <v>1154</v>
      </c>
      <c r="H524" s="11">
        <v>37000</v>
      </c>
      <c r="I524" s="11"/>
      <c r="J524" s="3"/>
      <c r="K524" s="3"/>
      <c r="L524" s="3"/>
      <c r="M524" s="3"/>
      <c r="N524" s="4">
        <f t="shared" si="19"/>
        <v>-100</v>
      </c>
    </row>
    <row r="525" spans="1:14" ht="39" customHeight="1" x14ac:dyDescent="0.25">
      <c r="A525" t="str">
        <f t="shared" si="18"/>
        <v>058700057242500</v>
      </c>
      <c r="B525" s="3" t="s">
        <v>84</v>
      </c>
      <c r="C525" s="3" t="s">
        <v>1152</v>
      </c>
      <c r="D525" s="3"/>
      <c r="E525" s="3" t="s">
        <v>1155</v>
      </c>
      <c r="F525" s="3" t="s">
        <v>1156</v>
      </c>
      <c r="G525" s="3" t="s">
        <v>1157</v>
      </c>
      <c r="H525" s="11">
        <v>500</v>
      </c>
      <c r="I525" s="11"/>
      <c r="J525" s="3"/>
      <c r="K525" s="3"/>
      <c r="L525" s="3"/>
      <c r="M525" s="3"/>
      <c r="N525" s="4">
        <f t="shared" si="19"/>
        <v>-100</v>
      </c>
    </row>
    <row r="526" spans="1:14" ht="39" customHeight="1" x14ac:dyDescent="0.25">
      <c r="A526" t="str">
        <f t="shared" si="18"/>
        <v>058700057241000</v>
      </c>
      <c r="B526" s="3" t="s">
        <v>84</v>
      </c>
      <c r="C526" s="3" t="s">
        <v>1152</v>
      </c>
      <c r="D526" s="3"/>
      <c r="E526" s="3" t="s">
        <v>1155</v>
      </c>
      <c r="F526" s="3" t="s">
        <v>53</v>
      </c>
      <c r="G526" s="3" t="s">
        <v>1158</v>
      </c>
      <c r="H526" s="11">
        <v>1700</v>
      </c>
      <c r="I526" s="11"/>
      <c r="J526" s="3"/>
      <c r="K526" s="3"/>
      <c r="L526" s="3"/>
      <c r="M526" s="3"/>
      <c r="N526" s="4">
        <f t="shared" si="19"/>
        <v>-100</v>
      </c>
    </row>
    <row r="527" spans="1:14" ht="39" customHeight="1" x14ac:dyDescent="0.25">
      <c r="A527" t="str">
        <f t="shared" si="18"/>
        <v>058700057363000</v>
      </c>
      <c r="B527" s="3" t="s">
        <v>84</v>
      </c>
      <c r="C527" s="3" t="s">
        <v>1152</v>
      </c>
      <c r="D527" s="3"/>
      <c r="E527" s="3" t="s">
        <v>1155</v>
      </c>
      <c r="F527" s="3" t="s">
        <v>62</v>
      </c>
      <c r="G527" s="3" t="s">
        <v>1159</v>
      </c>
      <c r="H527" s="11">
        <v>1700</v>
      </c>
      <c r="I527" s="11"/>
      <c r="J527" s="3"/>
      <c r="K527" s="3"/>
      <c r="L527" s="3"/>
      <c r="M527" s="3"/>
      <c r="N527" s="4">
        <f t="shared" si="19"/>
        <v>-100</v>
      </c>
    </row>
    <row r="528" spans="1:14" ht="39" customHeight="1" x14ac:dyDescent="0.25">
      <c r="A528" t="str">
        <f t="shared" si="18"/>
        <v>058700057481700</v>
      </c>
      <c r="B528" s="3" t="s">
        <v>84</v>
      </c>
      <c r="C528" s="3" t="s">
        <v>1152</v>
      </c>
      <c r="D528" s="3"/>
      <c r="E528" s="3" t="s">
        <v>1160</v>
      </c>
      <c r="F528" s="3" t="s">
        <v>57</v>
      </c>
      <c r="G528" s="3" t="s">
        <v>1161</v>
      </c>
      <c r="H528" s="11">
        <v>2000</v>
      </c>
      <c r="I528" s="11"/>
      <c r="J528" s="3"/>
      <c r="K528" s="3"/>
      <c r="L528" s="3"/>
      <c r="M528" s="3"/>
      <c r="N528" s="4">
        <f t="shared" si="19"/>
        <v>-100</v>
      </c>
    </row>
    <row r="529" spans="1:14" ht="39" customHeight="1" x14ac:dyDescent="0.25">
      <c r="A529" t="str">
        <f t="shared" si="18"/>
        <v>058700057552300</v>
      </c>
      <c r="B529" s="3" t="s">
        <v>84</v>
      </c>
      <c r="C529" s="3" t="s">
        <v>1152</v>
      </c>
      <c r="D529" s="3"/>
      <c r="E529" s="3" t="s">
        <v>1160</v>
      </c>
      <c r="F529" s="3" t="s">
        <v>71</v>
      </c>
      <c r="G529" s="3" t="s">
        <v>1162</v>
      </c>
      <c r="H529" s="11">
        <v>300</v>
      </c>
      <c r="I529" s="11"/>
      <c r="J529" s="3"/>
      <c r="K529" s="3"/>
      <c r="L529" s="3"/>
      <c r="M529" s="3"/>
      <c r="N529" s="4">
        <f t="shared" si="19"/>
        <v>-100</v>
      </c>
    </row>
    <row r="530" spans="1:14" ht="39" customHeight="1" x14ac:dyDescent="0.25">
      <c r="A530" t="str">
        <f t="shared" si="18"/>
        <v>0587000577022400</v>
      </c>
      <c r="B530" s="3" t="s">
        <v>84</v>
      </c>
      <c r="C530" s="3" t="s">
        <v>1152</v>
      </c>
      <c r="D530" s="3"/>
      <c r="E530" s="3" t="s">
        <v>1160</v>
      </c>
      <c r="F530" s="3" t="s">
        <v>53</v>
      </c>
      <c r="G530" s="3" t="s">
        <v>1163</v>
      </c>
      <c r="H530" s="11">
        <v>1000</v>
      </c>
      <c r="I530" s="11"/>
      <c r="J530" s="3"/>
      <c r="K530" s="3"/>
      <c r="L530" s="3"/>
      <c r="M530" s="3"/>
      <c r="N530" s="4">
        <f t="shared" si="19"/>
        <v>-100</v>
      </c>
    </row>
    <row r="531" spans="1:14" ht="39" customHeight="1" x14ac:dyDescent="0.25">
      <c r="A531" t="str">
        <f t="shared" si="18"/>
        <v>058700057751500</v>
      </c>
      <c r="B531" s="3" t="s">
        <v>84</v>
      </c>
      <c r="C531" s="3" t="s">
        <v>1152</v>
      </c>
      <c r="D531" s="3"/>
      <c r="E531" s="3" t="s">
        <v>1164</v>
      </c>
      <c r="F531" s="3" t="s">
        <v>25</v>
      </c>
      <c r="G531" s="3" t="s">
        <v>1165</v>
      </c>
      <c r="H531" s="11">
        <v>500</v>
      </c>
      <c r="I531" s="11" t="s">
        <v>26</v>
      </c>
      <c r="J531" s="3"/>
      <c r="K531" s="3"/>
      <c r="L531" s="3"/>
      <c r="M531" s="3"/>
      <c r="N531" s="4" t="str">
        <f t="shared" si="19"/>
        <v/>
      </c>
    </row>
    <row r="532" spans="1:14" ht="39" customHeight="1" x14ac:dyDescent="0.25">
      <c r="A532" t="str">
        <f t="shared" si="18"/>
        <v>058700059484800</v>
      </c>
      <c r="B532" s="3" t="s">
        <v>84</v>
      </c>
      <c r="C532" s="3" t="s">
        <v>1152</v>
      </c>
      <c r="D532" s="3"/>
      <c r="E532" s="3" t="s">
        <v>1166</v>
      </c>
      <c r="F532" s="3" t="s">
        <v>25</v>
      </c>
      <c r="G532" s="3" t="s">
        <v>1167</v>
      </c>
      <c r="H532" s="11">
        <v>10000</v>
      </c>
      <c r="I532" s="11"/>
      <c r="J532" s="3"/>
      <c r="K532" s="3"/>
      <c r="L532" s="3"/>
      <c r="M532" s="3"/>
      <c r="N532" s="4">
        <f t="shared" si="19"/>
        <v>-100</v>
      </c>
    </row>
    <row r="533" spans="1:14" ht="39" customHeight="1" x14ac:dyDescent="0.25">
      <c r="A533" t="str">
        <f t="shared" si="18"/>
        <v>058700059595000</v>
      </c>
      <c r="B533" s="3" t="s">
        <v>84</v>
      </c>
      <c r="C533" s="3" t="s">
        <v>1152</v>
      </c>
      <c r="D533" s="3"/>
      <c r="E533" s="3" t="s">
        <v>1168</v>
      </c>
      <c r="F533" s="3" t="s">
        <v>22</v>
      </c>
      <c r="G533" s="3" t="s">
        <v>1169</v>
      </c>
      <c r="H533" s="11">
        <v>30000</v>
      </c>
      <c r="I533" s="11"/>
      <c r="J533" s="3"/>
      <c r="K533" s="3"/>
      <c r="L533" s="3"/>
      <c r="M533" s="3"/>
      <c r="N533" s="4">
        <f t="shared" si="19"/>
        <v>-100</v>
      </c>
    </row>
    <row r="534" spans="1:14" ht="39" customHeight="1" x14ac:dyDescent="0.25">
      <c r="A534" t="str">
        <f t="shared" si="18"/>
        <v>058700060422800</v>
      </c>
      <c r="B534" s="3" t="s">
        <v>84</v>
      </c>
      <c r="C534" s="3" t="s">
        <v>1170</v>
      </c>
      <c r="D534" s="3"/>
      <c r="E534" s="3" t="s">
        <v>1171</v>
      </c>
      <c r="F534" s="3" t="s">
        <v>56</v>
      </c>
      <c r="G534" s="3" t="s">
        <v>1172</v>
      </c>
      <c r="H534" s="11">
        <v>4500</v>
      </c>
      <c r="I534" s="11"/>
      <c r="J534" s="3"/>
      <c r="K534" s="3"/>
      <c r="L534" s="3"/>
      <c r="M534" s="3"/>
      <c r="N534" s="4">
        <f t="shared" si="19"/>
        <v>-100</v>
      </c>
    </row>
    <row r="535" spans="1:14" ht="39" customHeight="1" x14ac:dyDescent="0.25">
      <c r="A535" t="str">
        <f t="shared" si="18"/>
        <v>058700060651200</v>
      </c>
      <c r="B535" s="3" t="s">
        <v>84</v>
      </c>
      <c r="C535" s="3" t="s">
        <v>1170</v>
      </c>
      <c r="D535" s="3"/>
      <c r="E535" s="3" t="s">
        <v>1173</v>
      </c>
      <c r="F535" s="3" t="s">
        <v>33</v>
      </c>
      <c r="G535" s="3" t="s">
        <v>1174</v>
      </c>
      <c r="H535" s="11">
        <v>3000</v>
      </c>
      <c r="I535" s="11"/>
      <c r="J535" s="3"/>
      <c r="K535" s="3"/>
      <c r="L535" s="3"/>
      <c r="M535" s="3"/>
      <c r="N535" s="4">
        <f t="shared" si="19"/>
        <v>-100</v>
      </c>
    </row>
    <row r="536" spans="1:14" ht="39" customHeight="1" x14ac:dyDescent="0.25">
      <c r="A536" t="str">
        <f t="shared" si="18"/>
        <v>058700060899000</v>
      </c>
      <c r="B536" s="3" t="s">
        <v>84</v>
      </c>
      <c r="C536" s="3" t="s">
        <v>1170</v>
      </c>
      <c r="D536" s="3"/>
      <c r="E536" s="3" t="s">
        <v>1175</v>
      </c>
      <c r="F536" s="3" t="s">
        <v>19</v>
      </c>
      <c r="G536" s="3" t="s">
        <v>1176</v>
      </c>
      <c r="H536" s="11">
        <v>2000</v>
      </c>
      <c r="I536" s="11"/>
      <c r="J536" s="3"/>
      <c r="K536" s="3"/>
      <c r="L536" s="3"/>
      <c r="M536" s="3"/>
      <c r="N536" s="4">
        <f t="shared" si="19"/>
        <v>-100</v>
      </c>
    </row>
    <row r="537" spans="1:14" ht="39" customHeight="1" x14ac:dyDescent="0.25">
      <c r="A537" t="str">
        <f t="shared" si="18"/>
        <v>058700060965000</v>
      </c>
      <c r="B537" s="3" t="s">
        <v>84</v>
      </c>
      <c r="C537" s="3" t="s">
        <v>1170</v>
      </c>
      <c r="D537" s="3"/>
      <c r="E537" s="3" t="s">
        <v>1177</v>
      </c>
      <c r="F537" s="3" t="s">
        <v>22</v>
      </c>
      <c r="G537" s="3" t="s">
        <v>1178</v>
      </c>
      <c r="H537" s="11">
        <v>18800</v>
      </c>
      <c r="I537" s="11"/>
      <c r="J537" s="3"/>
      <c r="K537" s="3"/>
      <c r="L537" s="3"/>
      <c r="M537" s="3"/>
      <c r="N537" s="4">
        <f t="shared" si="19"/>
        <v>-100</v>
      </c>
    </row>
    <row r="538" spans="1:14" ht="39" customHeight="1" x14ac:dyDescent="0.25">
      <c r="A538" t="str">
        <f t="shared" si="18"/>
        <v>05870006121600</v>
      </c>
      <c r="B538" s="3" t="s">
        <v>84</v>
      </c>
      <c r="C538" s="3" t="s">
        <v>1170</v>
      </c>
      <c r="D538" s="3"/>
      <c r="E538" s="3" t="s">
        <v>1179</v>
      </c>
      <c r="F538" s="3" t="s">
        <v>22</v>
      </c>
      <c r="G538" s="3" t="s">
        <v>1180</v>
      </c>
      <c r="H538" s="11">
        <v>12000</v>
      </c>
      <c r="I538" s="11"/>
      <c r="J538" s="3"/>
      <c r="K538" s="3"/>
      <c r="L538" s="3"/>
      <c r="M538" s="3"/>
      <c r="N538" s="4">
        <f t="shared" si="19"/>
        <v>-100</v>
      </c>
    </row>
    <row r="539" spans="1:14" ht="39" customHeight="1" x14ac:dyDescent="0.25">
      <c r="A539" t="str">
        <f t="shared" si="18"/>
        <v>05880007269400</v>
      </c>
      <c r="B539" s="3" t="s">
        <v>84</v>
      </c>
      <c r="C539" s="3" t="s">
        <v>1170</v>
      </c>
      <c r="D539" s="3"/>
      <c r="E539" s="3" t="s">
        <v>1181</v>
      </c>
      <c r="F539" s="3" t="s">
        <v>22</v>
      </c>
      <c r="G539" s="3" t="s">
        <v>1182</v>
      </c>
      <c r="H539" s="11">
        <v>16500</v>
      </c>
      <c r="I539" s="11"/>
      <c r="J539" s="3"/>
      <c r="K539" s="3"/>
      <c r="L539" s="3"/>
      <c r="M539" s="3"/>
      <c r="N539" s="4">
        <f t="shared" si="19"/>
        <v>-100</v>
      </c>
    </row>
    <row r="540" spans="1:14" ht="39" customHeight="1" x14ac:dyDescent="0.25">
      <c r="A540" t="str">
        <f t="shared" si="18"/>
        <v>05880007459900</v>
      </c>
      <c r="B540" s="3" t="s">
        <v>84</v>
      </c>
      <c r="C540" s="3" t="s">
        <v>1170</v>
      </c>
      <c r="D540" s="3"/>
      <c r="E540" s="3" t="s">
        <v>1183</v>
      </c>
      <c r="F540" s="3" t="s">
        <v>22</v>
      </c>
      <c r="G540" s="3" t="s">
        <v>1184</v>
      </c>
      <c r="H540" s="11">
        <v>10500</v>
      </c>
      <c r="I540" s="11"/>
      <c r="J540" s="3"/>
      <c r="K540" s="3"/>
      <c r="L540" s="3"/>
      <c r="M540" s="3"/>
      <c r="N540" s="4">
        <f t="shared" si="19"/>
        <v>-100</v>
      </c>
    </row>
    <row r="541" spans="1:14" ht="39" customHeight="1" x14ac:dyDescent="0.25">
      <c r="A541" t="str">
        <f t="shared" si="18"/>
        <v>058800075374600</v>
      </c>
      <c r="B541" s="3" t="s">
        <v>84</v>
      </c>
      <c r="C541" s="3" t="s">
        <v>1170</v>
      </c>
      <c r="D541" s="3"/>
      <c r="E541" s="3" t="s">
        <v>1185</v>
      </c>
      <c r="F541" s="3" t="s">
        <v>48</v>
      </c>
      <c r="G541" s="3" t="s">
        <v>1186</v>
      </c>
      <c r="H541" s="11">
        <v>300</v>
      </c>
      <c r="I541" s="11"/>
      <c r="J541" s="3"/>
      <c r="K541" s="3"/>
      <c r="L541" s="3"/>
      <c r="M541" s="3"/>
      <c r="N541" s="4">
        <f t="shared" si="19"/>
        <v>-100</v>
      </c>
    </row>
    <row r="542" spans="1:14" ht="39" customHeight="1" x14ac:dyDescent="0.25">
      <c r="A542" t="str">
        <f t="shared" si="18"/>
        <v>05880007729300</v>
      </c>
      <c r="B542" s="3" t="s">
        <v>84</v>
      </c>
      <c r="C542" s="3" t="s">
        <v>1170</v>
      </c>
      <c r="D542" s="3"/>
      <c r="E542" s="3" t="s">
        <v>1187</v>
      </c>
      <c r="F542" s="3" t="s">
        <v>43</v>
      </c>
      <c r="G542" s="3" t="s">
        <v>1188</v>
      </c>
      <c r="H542" s="11">
        <v>1500</v>
      </c>
      <c r="I542" s="11"/>
      <c r="J542" s="3"/>
      <c r="K542" s="3"/>
      <c r="L542" s="3"/>
      <c r="M542" s="3"/>
      <c r="N542" s="4">
        <f t="shared" si="19"/>
        <v>-100</v>
      </c>
    </row>
    <row r="543" spans="1:14" ht="39" customHeight="1" x14ac:dyDescent="0.25">
      <c r="A543" t="str">
        <f t="shared" ref="A543:A606" si="20">E505&amp;H505</f>
        <v>058800078538000</v>
      </c>
      <c r="B543" s="3" t="s">
        <v>84</v>
      </c>
      <c r="C543" s="3" t="s">
        <v>1170</v>
      </c>
      <c r="D543" s="3"/>
      <c r="E543" s="3" t="s">
        <v>1189</v>
      </c>
      <c r="F543" s="3" t="s">
        <v>45</v>
      </c>
      <c r="G543" s="3" t="s">
        <v>1190</v>
      </c>
      <c r="H543" s="11">
        <v>300</v>
      </c>
      <c r="I543" s="11"/>
      <c r="J543" s="3"/>
      <c r="K543" s="3"/>
      <c r="L543" s="3"/>
      <c r="M543" s="3"/>
      <c r="N543" s="4">
        <f t="shared" si="19"/>
        <v>-100</v>
      </c>
    </row>
    <row r="544" spans="1:14" ht="39" customHeight="1" x14ac:dyDescent="0.25">
      <c r="A544" t="str">
        <f t="shared" si="20"/>
        <v>05880007994200</v>
      </c>
      <c r="B544" s="3" t="s">
        <v>84</v>
      </c>
      <c r="C544" s="3" t="s">
        <v>1170</v>
      </c>
      <c r="D544" s="3"/>
      <c r="E544" s="3" t="s">
        <v>1191</v>
      </c>
      <c r="F544" s="3" t="s">
        <v>22</v>
      </c>
      <c r="G544" s="3" t="s">
        <v>1192</v>
      </c>
      <c r="H544" s="11">
        <v>2600</v>
      </c>
      <c r="I544" s="11"/>
      <c r="J544" s="3"/>
      <c r="K544" s="3"/>
      <c r="L544" s="3"/>
      <c r="M544" s="3"/>
      <c r="N544" s="4">
        <f t="shared" si="19"/>
        <v>-100</v>
      </c>
    </row>
    <row r="545" spans="1:14" ht="39" customHeight="1" x14ac:dyDescent="0.25">
      <c r="A545" t="str">
        <f t="shared" si="20"/>
        <v>0588000800115000</v>
      </c>
      <c r="B545" s="3" t="s">
        <v>84</v>
      </c>
      <c r="C545" s="3" t="s">
        <v>1170</v>
      </c>
      <c r="D545" s="3"/>
      <c r="E545" s="3" t="s">
        <v>1193</v>
      </c>
      <c r="F545" s="3" t="s">
        <v>37</v>
      </c>
      <c r="G545" s="3" t="s">
        <v>1194</v>
      </c>
      <c r="H545" s="11">
        <v>3000</v>
      </c>
      <c r="I545" s="11"/>
      <c r="J545" s="3"/>
      <c r="K545" s="3"/>
      <c r="L545" s="3"/>
      <c r="M545" s="3"/>
      <c r="N545" s="4">
        <f t="shared" si="19"/>
        <v>-100</v>
      </c>
    </row>
    <row r="546" spans="1:14" ht="39" customHeight="1" x14ac:dyDescent="0.25">
      <c r="A546" t="str">
        <f t="shared" si="20"/>
        <v>0588000803270000</v>
      </c>
      <c r="B546" s="3" t="s">
        <v>84</v>
      </c>
      <c r="C546" s="3" t="s">
        <v>1195</v>
      </c>
      <c r="D546" s="3"/>
      <c r="E546" s="3" t="s">
        <v>1196</v>
      </c>
      <c r="F546" s="3" t="s">
        <v>25</v>
      </c>
      <c r="G546" s="3" t="s">
        <v>1197</v>
      </c>
      <c r="H546" s="11">
        <v>6961</v>
      </c>
      <c r="I546" s="11"/>
      <c r="J546" s="3"/>
      <c r="K546" s="3"/>
      <c r="L546" s="3"/>
      <c r="M546" s="3"/>
      <c r="N546" s="4">
        <f t="shared" si="19"/>
        <v>-100</v>
      </c>
    </row>
    <row r="547" spans="1:14" ht="39" customHeight="1" x14ac:dyDescent="0.25">
      <c r="A547" t="str">
        <f t="shared" si="20"/>
        <v>058800080565000</v>
      </c>
      <c r="B547" s="3" t="s">
        <v>84</v>
      </c>
      <c r="C547" s="3" t="s">
        <v>1195</v>
      </c>
      <c r="D547" s="3"/>
      <c r="E547" s="3" t="s">
        <v>1198</v>
      </c>
      <c r="F547" s="3" t="s">
        <v>25</v>
      </c>
      <c r="G547" s="3" t="s">
        <v>1199</v>
      </c>
      <c r="H547" s="11">
        <v>1000</v>
      </c>
      <c r="I547" s="11" t="s">
        <v>26</v>
      </c>
      <c r="J547" s="3"/>
      <c r="K547" s="3"/>
      <c r="L547" s="3"/>
      <c r="M547" s="3"/>
      <c r="N547" s="4" t="str">
        <f t="shared" si="19"/>
        <v/>
      </c>
    </row>
    <row r="548" spans="1:14" ht="39" customHeight="1" x14ac:dyDescent="0.25">
      <c r="A548" t="str">
        <f t="shared" si="20"/>
        <v>0588000807212000</v>
      </c>
      <c r="B548" s="3" t="s">
        <v>84</v>
      </c>
      <c r="C548" s="3" t="s">
        <v>1195</v>
      </c>
      <c r="D548" s="3"/>
      <c r="E548" s="3" t="s">
        <v>1200</v>
      </c>
      <c r="F548" s="3" t="s">
        <v>62</v>
      </c>
      <c r="G548" s="3" t="s">
        <v>1201</v>
      </c>
      <c r="H548" s="11">
        <v>700</v>
      </c>
      <c r="I548" s="11"/>
      <c r="J548" s="3"/>
      <c r="K548" s="3"/>
      <c r="L548" s="3"/>
      <c r="M548" s="3"/>
      <c r="N548" s="4">
        <f t="shared" si="19"/>
        <v>-100</v>
      </c>
    </row>
    <row r="549" spans="1:14" ht="39" customHeight="1" x14ac:dyDescent="0.25">
      <c r="A549" t="str">
        <f t="shared" si="20"/>
        <v>058800080746000</v>
      </c>
      <c r="B549" s="3" t="s">
        <v>84</v>
      </c>
      <c r="C549" s="3" t="s">
        <v>1195</v>
      </c>
      <c r="D549" s="3"/>
      <c r="E549" s="3" t="s">
        <v>1202</v>
      </c>
      <c r="F549" s="3" t="s">
        <v>25</v>
      </c>
      <c r="G549" s="3" t="s">
        <v>1203</v>
      </c>
      <c r="H549" s="11">
        <v>8000</v>
      </c>
      <c r="I549" s="11"/>
      <c r="J549" s="3"/>
      <c r="K549" s="3"/>
      <c r="L549" s="3"/>
      <c r="M549" s="3"/>
      <c r="N549" s="4">
        <f t="shared" si="19"/>
        <v>-100</v>
      </c>
    </row>
    <row r="550" spans="1:14" ht="39" customHeight="1" x14ac:dyDescent="0.25">
      <c r="A550" t="str">
        <f t="shared" si="20"/>
        <v>058800081142500</v>
      </c>
      <c r="B550" s="3" t="s">
        <v>84</v>
      </c>
      <c r="C550" s="3" t="s">
        <v>1195</v>
      </c>
      <c r="D550" s="3"/>
      <c r="E550" s="3" t="s">
        <v>1204</v>
      </c>
      <c r="F550" s="3" t="s">
        <v>22</v>
      </c>
      <c r="G550" s="3" t="s">
        <v>1205</v>
      </c>
      <c r="H550" s="11">
        <v>5000</v>
      </c>
      <c r="I550" s="11"/>
      <c r="J550" s="3"/>
      <c r="K550" s="3"/>
      <c r="L550" s="3"/>
      <c r="M550" s="3"/>
      <c r="N550" s="4">
        <f t="shared" si="19"/>
        <v>-100</v>
      </c>
    </row>
    <row r="551" spans="1:14" ht="39" customHeight="1" x14ac:dyDescent="0.25">
      <c r="A551" t="str">
        <f t="shared" si="20"/>
        <v>0588000811542000</v>
      </c>
      <c r="B551" s="3" t="s">
        <v>84</v>
      </c>
      <c r="C551" s="3" t="s">
        <v>1195</v>
      </c>
      <c r="D551" s="3"/>
      <c r="E551" s="3" t="s">
        <v>1206</v>
      </c>
      <c r="F551" s="3" t="s">
        <v>30</v>
      </c>
      <c r="G551" s="3" t="s">
        <v>1207</v>
      </c>
      <c r="H551" s="11">
        <v>6000</v>
      </c>
      <c r="I551" s="11"/>
      <c r="J551" s="3"/>
      <c r="K551" s="3"/>
      <c r="L551" s="3"/>
      <c r="M551" s="3"/>
      <c r="N551" s="4">
        <f t="shared" si="19"/>
        <v>-100</v>
      </c>
    </row>
    <row r="552" spans="1:14" ht="39" customHeight="1" x14ac:dyDescent="0.25">
      <c r="A552" t="str">
        <f t="shared" si="20"/>
        <v>0588000835820000</v>
      </c>
      <c r="B552" s="3" t="s">
        <v>84</v>
      </c>
      <c r="C552" s="3" t="s">
        <v>1208</v>
      </c>
      <c r="D552" s="3"/>
      <c r="E552" s="3" t="s">
        <v>1209</v>
      </c>
      <c r="F552" s="3" t="s">
        <v>25</v>
      </c>
      <c r="G552" s="3" t="s">
        <v>1210</v>
      </c>
      <c r="H552" s="11">
        <v>30000</v>
      </c>
      <c r="I552" s="11"/>
      <c r="J552" s="3"/>
      <c r="K552" s="3"/>
      <c r="L552" s="3"/>
      <c r="M552" s="3"/>
      <c r="N552" s="4">
        <f t="shared" si="19"/>
        <v>-100</v>
      </c>
    </row>
    <row r="553" spans="1:14" ht="39" customHeight="1" x14ac:dyDescent="0.25">
      <c r="A553" t="str">
        <f t="shared" si="20"/>
        <v>058800084161000</v>
      </c>
      <c r="B553" s="3" t="s">
        <v>84</v>
      </c>
      <c r="C553" s="3" t="s">
        <v>1208</v>
      </c>
      <c r="D553" s="3"/>
      <c r="E553" s="3" t="s">
        <v>1211</v>
      </c>
      <c r="F553" s="3" t="s">
        <v>27</v>
      </c>
      <c r="G553" s="3" t="s">
        <v>1212</v>
      </c>
      <c r="H553" s="11">
        <v>3000</v>
      </c>
      <c r="I553" s="11"/>
      <c r="J553" s="3"/>
      <c r="K553" s="3"/>
      <c r="L553" s="3"/>
      <c r="M553" s="3"/>
      <c r="N553" s="4">
        <f t="shared" si="19"/>
        <v>-100</v>
      </c>
    </row>
    <row r="554" spans="1:14" ht="39" customHeight="1" x14ac:dyDescent="0.25">
      <c r="A554" t="str">
        <f t="shared" si="20"/>
        <v>058800084371400</v>
      </c>
      <c r="B554" s="3" t="s">
        <v>84</v>
      </c>
      <c r="C554" s="3" t="s">
        <v>1208</v>
      </c>
      <c r="D554" s="3"/>
      <c r="E554" s="3" t="s">
        <v>1213</v>
      </c>
      <c r="F554" s="3" t="s">
        <v>49</v>
      </c>
      <c r="G554" s="3" t="s">
        <v>1214</v>
      </c>
      <c r="H554" s="11">
        <v>800</v>
      </c>
      <c r="I554" s="11"/>
      <c r="J554" s="3"/>
      <c r="K554" s="3"/>
      <c r="L554" s="3"/>
      <c r="M554" s="3"/>
      <c r="N554" s="4">
        <f t="shared" si="19"/>
        <v>-100</v>
      </c>
    </row>
    <row r="555" spans="1:14" ht="39" customHeight="1" x14ac:dyDescent="0.25">
      <c r="A555" t="str">
        <f t="shared" si="20"/>
        <v>058800084472000</v>
      </c>
      <c r="B555" s="3" t="s">
        <v>84</v>
      </c>
      <c r="C555" s="3" t="s">
        <v>1208</v>
      </c>
      <c r="D555" s="3"/>
      <c r="E555" s="3" t="s">
        <v>1215</v>
      </c>
      <c r="F555" s="3" t="s">
        <v>36</v>
      </c>
      <c r="G555" s="3" t="s">
        <v>1216</v>
      </c>
      <c r="H555" s="11">
        <v>1500</v>
      </c>
      <c r="I555" s="11"/>
      <c r="J555" s="3"/>
      <c r="K555" s="3"/>
      <c r="L555" s="3"/>
      <c r="M555" s="3"/>
      <c r="N555" s="4">
        <f t="shared" si="19"/>
        <v>-100</v>
      </c>
    </row>
    <row r="556" spans="1:14" ht="39" customHeight="1" x14ac:dyDescent="0.25">
      <c r="A556" t="str">
        <f t="shared" si="20"/>
        <v>058800084472500</v>
      </c>
      <c r="B556" s="3" t="s">
        <v>84</v>
      </c>
      <c r="C556" s="3" t="s">
        <v>1208</v>
      </c>
      <c r="D556" s="3"/>
      <c r="E556" s="3" t="s">
        <v>1217</v>
      </c>
      <c r="F556" s="3" t="s">
        <v>43</v>
      </c>
      <c r="G556" s="3" t="s">
        <v>1218</v>
      </c>
      <c r="H556" s="11">
        <v>800</v>
      </c>
      <c r="I556" s="11"/>
      <c r="J556" s="3"/>
      <c r="K556" s="3"/>
      <c r="L556" s="3"/>
      <c r="M556" s="3"/>
      <c r="N556" s="4">
        <f t="shared" si="19"/>
        <v>-100</v>
      </c>
    </row>
    <row r="557" spans="1:14" ht="39" customHeight="1" x14ac:dyDescent="0.25">
      <c r="A557" t="str">
        <f t="shared" si="20"/>
        <v>058800084595000</v>
      </c>
      <c r="B557" s="3" t="s">
        <v>84</v>
      </c>
      <c r="C557" s="3" t="s">
        <v>1208</v>
      </c>
      <c r="D557" s="3"/>
      <c r="E557" s="3" t="s">
        <v>1219</v>
      </c>
      <c r="F557" s="3" t="s">
        <v>22</v>
      </c>
      <c r="G557" s="3" t="s">
        <v>1220</v>
      </c>
      <c r="H557" s="11">
        <v>12200</v>
      </c>
      <c r="I557" s="11"/>
      <c r="J557" s="3"/>
      <c r="K557" s="3"/>
      <c r="L557" s="3"/>
      <c r="M557" s="3"/>
      <c r="N557" s="4">
        <f t="shared" si="19"/>
        <v>-100</v>
      </c>
    </row>
    <row r="558" spans="1:14" ht="39" customHeight="1" x14ac:dyDescent="0.25">
      <c r="A558" t="str">
        <f t="shared" si="20"/>
        <v>0588000846137000</v>
      </c>
      <c r="B558" s="3" t="s">
        <v>84</v>
      </c>
      <c r="C558" s="3" t="s">
        <v>1208</v>
      </c>
      <c r="D558" s="3"/>
      <c r="E558" s="3" t="s">
        <v>1221</v>
      </c>
      <c r="F558" s="3" t="s">
        <v>22</v>
      </c>
      <c r="G558" s="3" t="s">
        <v>1222</v>
      </c>
      <c r="H558" s="11">
        <v>6500</v>
      </c>
      <c r="I558" s="11"/>
      <c r="J558" s="3"/>
      <c r="K558" s="3"/>
      <c r="L558" s="3"/>
      <c r="M558" s="3"/>
      <c r="N558" s="4">
        <f t="shared" si="19"/>
        <v>-100</v>
      </c>
    </row>
    <row r="559" spans="1:14" ht="39" customHeight="1" x14ac:dyDescent="0.25">
      <c r="A559" t="str">
        <f t="shared" si="20"/>
        <v>0588000846116000</v>
      </c>
      <c r="B559" s="3" t="s">
        <v>84</v>
      </c>
      <c r="C559" s="3" t="s">
        <v>1208</v>
      </c>
      <c r="D559" s="3"/>
      <c r="E559" s="3" t="s">
        <v>1223</v>
      </c>
      <c r="F559" s="3" t="s">
        <v>22</v>
      </c>
      <c r="G559" s="3" t="s">
        <v>1224</v>
      </c>
      <c r="H559" s="11">
        <v>17500</v>
      </c>
      <c r="I559" s="11"/>
      <c r="J559" s="3"/>
      <c r="K559" s="3"/>
      <c r="L559" s="3"/>
      <c r="M559" s="3"/>
      <c r="N559" s="4">
        <f t="shared" si="19"/>
        <v>-100</v>
      </c>
    </row>
    <row r="560" spans="1:14" ht="39" customHeight="1" x14ac:dyDescent="0.25">
      <c r="A560" t="str">
        <f t="shared" si="20"/>
        <v>058800084951700</v>
      </c>
      <c r="B560" s="3" t="s">
        <v>84</v>
      </c>
      <c r="C560" s="3" t="s">
        <v>1208</v>
      </c>
      <c r="D560" s="3"/>
      <c r="E560" s="3" t="s">
        <v>1225</v>
      </c>
      <c r="F560" s="3" t="s">
        <v>22</v>
      </c>
      <c r="G560" s="3" t="s">
        <v>1226</v>
      </c>
      <c r="H560" s="11">
        <v>10500</v>
      </c>
      <c r="I560" s="11"/>
      <c r="J560" s="3"/>
      <c r="K560" s="3"/>
      <c r="L560" s="3"/>
      <c r="M560" s="3"/>
      <c r="N560" s="4">
        <f t="shared" si="19"/>
        <v>-100</v>
      </c>
    </row>
    <row r="561" spans="1:14" ht="39" customHeight="1" x14ac:dyDescent="0.25">
      <c r="A561" t="str">
        <f t="shared" si="20"/>
        <v>0588000850226000</v>
      </c>
      <c r="B561" s="3" t="s">
        <v>84</v>
      </c>
      <c r="C561" s="3" t="s">
        <v>1208</v>
      </c>
      <c r="D561" s="3"/>
      <c r="E561" s="3" t="s">
        <v>1227</v>
      </c>
      <c r="F561" s="3" t="s">
        <v>27</v>
      </c>
      <c r="G561" s="3" t="s">
        <v>1228</v>
      </c>
      <c r="H561" s="11">
        <v>3600</v>
      </c>
      <c r="I561" s="11"/>
      <c r="J561" s="3"/>
      <c r="K561" s="3"/>
      <c r="L561" s="3"/>
      <c r="M561" s="3"/>
      <c r="N561" s="4">
        <f t="shared" si="19"/>
        <v>-100</v>
      </c>
    </row>
    <row r="562" spans="1:14" ht="39" customHeight="1" x14ac:dyDescent="0.25">
      <c r="A562" t="str">
        <f t="shared" si="20"/>
        <v>0589000314337000</v>
      </c>
      <c r="B562" s="3" t="s">
        <v>84</v>
      </c>
      <c r="C562" s="3" t="s">
        <v>1208</v>
      </c>
      <c r="D562" s="3"/>
      <c r="E562" s="3" t="s">
        <v>1229</v>
      </c>
      <c r="F562" s="3" t="s">
        <v>29</v>
      </c>
      <c r="G562" s="3" t="s">
        <v>1230</v>
      </c>
      <c r="H562" s="11">
        <v>300</v>
      </c>
      <c r="I562" s="11"/>
      <c r="J562" s="3"/>
      <c r="K562" s="3"/>
      <c r="L562" s="3"/>
      <c r="M562" s="3"/>
      <c r="N562" s="4">
        <f t="shared" si="19"/>
        <v>-100</v>
      </c>
    </row>
    <row r="563" spans="1:14" ht="39" customHeight="1" x14ac:dyDescent="0.25">
      <c r="A563" t="str">
        <f t="shared" si="20"/>
        <v>05890003404500</v>
      </c>
      <c r="B563" s="3" t="s">
        <v>84</v>
      </c>
      <c r="C563" s="3" t="s">
        <v>1208</v>
      </c>
      <c r="D563" s="3"/>
      <c r="E563" s="3" t="s">
        <v>1231</v>
      </c>
      <c r="F563" s="3" t="s">
        <v>77</v>
      </c>
      <c r="G563" s="3" t="s">
        <v>1232</v>
      </c>
      <c r="H563" s="11">
        <v>300</v>
      </c>
      <c r="I563" s="11"/>
      <c r="J563" s="3"/>
      <c r="K563" s="3"/>
      <c r="L563" s="3"/>
      <c r="M563" s="3"/>
      <c r="N563" s="4">
        <f t="shared" si="19"/>
        <v>-100</v>
      </c>
    </row>
    <row r="564" spans="1:14" ht="39" customHeight="1" x14ac:dyDescent="0.25">
      <c r="A564" t="str">
        <f t="shared" si="20"/>
        <v>058900034041700</v>
      </c>
      <c r="B564" s="3" t="s">
        <v>84</v>
      </c>
      <c r="C564" s="3" t="s">
        <v>1208</v>
      </c>
      <c r="D564" s="3"/>
      <c r="E564" s="3" t="s">
        <v>1233</v>
      </c>
      <c r="F564" s="3" t="s">
        <v>77</v>
      </c>
      <c r="G564" s="3" t="s">
        <v>1234</v>
      </c>
      <c r="H564" s="11">
        <v>300</v>
      </c>
      <c r="I564" s="11"/>
      <c r="J564" s="3"/>
      <c r="K564" s="3"/>
      <c r="L564" s="3"/>
      <c r="M564" s="3"/>
      <c r="N564" s="4">
        <f t="shared" si="19"/>
        <v>-100</v>
      </c>
    </row>
    <row r="565" spans="1:14" ht="39" customHeight="1" x14ac:dyDescent="0.25">
      <c r="A565" t="str">
        <f t="shared" si="20"/>
        <v>058900034041700</v>
      </c>
      <c r="B565" s="3" t="s">
        <v>84</v>
      </c>
      <c r="C565" s="3" t="s">
        <v>1208</v>
      </c>
      <c r="D565" s="3"/>
      <c r="E565" s="3" t="s">
        <v>1235</v>
      </c>
      <c r="F565" s="3" t="s">
        <v>22</v>
      </c>
      <c r="G565" s="3" t="s">
        <v>1236</v>
      </c>
      <c r="H565" s="11">
        <v>2400</v>
      </c>
      <c r="I565" s="11"/>
      <c r="J565" s="3"/>
      <c r="K565" s="3"/>
      <c r="L565" s="3"/>
      <c r="M565" s="3"/>
      <c r="N565" s="4">
        <f t="shared" si="19"/>
        <v>-100</v>
      </c>
    </row>
    <row r="566" spans="1:14" ht="39" customHeight="1" x14ac:dyDescent="0.25">
      <c r="A566" t="str">
        <f t="shared" si="20"/>
        <v>058900034052000</v>
      </c>
      <c r="B566" s="3" t="s">
        <v>84</v>
      </c>
      <c r="C566" s="3" t="s">
        <v>1208</v>
      </c>
      <c r="D566" s="3"/>
      <c r="E566" s="3" t="s">
        <v>1237</v>
      </c>
      <c r="F566" s="3" t="s">
        <v>69</v>
      </c>
      <c r="G566" s="3" t="s">
        <v>1238</v>
      </c>
      <c r="H566" s="11">
        <v>500</v>
      </c>
      <c r="I566" s="11"/>
      <c r="J566" s="3"/>
      <c r="K566" s="3"/>
      <c r="L566" s="3"/>
      <c r="M566" s="3"/>
      <c r="N566" s="4">
        <f t="shared" si="19"/>
        <v>-100</v>
      </c>
    </row>
    <row r="567" spans="1:14" ht="39" customHeight="1" x14ac:dyDescent="0.25">
      <c r="A567" t="str">
        <f t="shared" si="20"/>
        <v>05890003405300</v>
      </c>
      <c r="B567" s="3" t="s">
        <v>84</v>
      </c>
      <c r="C567" s="3" t="s">
        <v>1208</v>
      </c>
      <c r="D567" s="3"/>
      <c r="E567" s="3" t="s">
        <v>1239</v>
      </c>
      <c r="F567" s="3" t="s">
        <v>22</v>
      </c>
      <c r="G567" s="3" t="s">
        <v>1240</v>
      </c>
      <c r="H567" s="11">
        <v>5700</v>
      </c>
      <c r="I567" s="11"/>
      <c r="J567" s="3"/>
      <c r="K567" s="3"/>
      <c r="L567" s="3"/>
      <c r="M567" s="3"/>
      <c r="N567" s="4">
        <f t="shared" si="19"/>
        <v>-100</v>
      </c>
    </row>
    <row r="568" spans="1:14" ht="39" customHeight="1" x14ac:dyDescent="0.25">
      <c r="A568" t="str">
        <f t="shared" si="20"/>
        <v>058900034051000</v>
      </c>
      <c r="B568" s="3" t="s">
        <v>84</v>
      </c>
      <c r="C568" s="3" t="s">
        <v>1208</v>
      </c>
      <c r="D568" s="3"/>
      <c r="E568" s="3" t="s">
        <v>1241</v>
      </c>
      <c r="F568" s="3" t="s">
        <v>45</v>
      </c>
      <c r="G568" s="3" t="s">
        <v>1242</v>
      </c>
      <c r="H568" s="11">
        <v>300</v>
      </c>
      <c r="I568" s="11"/>
      <c r="J568" s="3"/>
      <c r="K568" s="3"/>
      <c r="L568" s="3"/>
      <c r="M568" s="3"/>
      <c r="N568" s="4">
        <f t="shared" si="19"/>
        <v>-100</v>
      </c>
    </row>
    <row r="569" spans="1:14" ht="39" customHeight="1" x14ac:dyDescent="0.25">
      <c r="A569" t="str">
        <f t="shared" si="20"/>
        <v>05890003428500</v>
      </c>
      <c r="B569" s="3" t="s">
        <v>84</v>
      </c>
      <c r="C569" s="3" t="s">
        <v>1208</v>
      </c>
      <c r="D569" s="3"/>
      <c r="E569" s="3" t="s">
        <v>1241</v>
      </c>
      <c r="F569" s="3" t="s">
        <v>45</v>
      </c>
      <c r="G569" s="3" t="s">
        <v>1243</v>
      </c>
      <c r="H569" s="11">
        <v>200</v>
      </c>
      <c r="I569" s="11"/>
      <c r="J569" s="3"/>
      <c r="K569" s="3"/>
      <c r="L569" s="3"/>
      <c r="M569" s="3"/>
      <c r="N569" s="4">
        <f t="shared" ref="N569:N632" si="21">IFERROR(((I569*100)/H569)-100,"")</f>
        <v>-100</v>
      </c>
    </row>
    <row r="570" spans="1:14" ht="39" customHeight="1" x14ac:dyDescent="0.25">
      <c r="A570" t="str">
        <f t="shared" si="20"/>
        <v>0589000343610000</v>
      </c>
      <c r="B570" s="3" t="s">
        <v>84</v>
      </c>
      <c r="C570" s="3" t="s">
        <v>1244</v>
      </c>
      <c r="D570" s="3"/>
      <c r="E570" s="3" t="s">
        <v>1245</v>
      </c>
      <c r="F570" s="3" t="s">
        <v>54</v>
      </c>
      <c r="G570" s="3" t="s">
        <v>1246</v>
      </c>
      <c r="H570" s="11">
        <v>14400</v>
      </c>
      <c r="I570" s="11"/>
      <c r="J570" s="3"/>
      <c r="K570" s="3"/>
      <c r="L570" s="3"/>
      <c r="M570" s="3"/>
      <c r="N570" s="4">
        <f t="shared" si="21"/>
        <v>-100</v>
      </c>
    </row>
    <row r="571" spans="1:14" ht="39" customHeight="1" x14ac:dyDescent="0.25">
      <c r="A571" t="str">
        <f t="shared" si="20"/>
        <v>0589000369630000</v>
      </c>
      <c r="B571" s="3" t="s">
        <v>84</v>
      </c>
      <c r="C571" s="3" t="s">
        <v>1244</v>
      </c>
      <c r="D571" s="3"/>
      <c r="E571" s="3" t="s">
        <v>1247</v>
      </c>
      <c r="F571" s="3" t="s">
        <v>39</v>
      </c>
      <c r="G571" s="3" t="s">
        <v>1248</v>
      </c>
      <c r="H571" s="11">
        <v>5500</v>
      </c>
      <c r="I571" s="11"/>
      <c r="J571" s="3"/>
      <c r="K571" s="3"/>
      <c r="L571" s="3"/>
      <c r="M571" s="3"/>
      <c r="N571" s="4">
        <f t="shared" si="21"/>
        <v>-100</v>
      </c>
    </row>
    <row r="572" spans="1:14" ht="39" customHeight="1" x14ac:dyDescent="0.25">
      <c r="A572" t="str">
        <f t="shared" si="20"/>
        <v>061000013944500</v>
      </c>
      <c r="B572" s="3" t="s">
        <v>84</v>
      </c>
      <c r="C572" s="3" t="s">
        <v>1244</v>
      </c>
      <c r="D572" s="3"/>
      <c r="E572" s="3" t="s">
        <v>1249</v>
      </c>
      <c r="F572" s="3" t="s">
        <v>41</v>
      </c>
      <c r="G572" s="3" t="s">
        <v>1250</v>
      </c>
      <c r="H572" s="11">
        <v>15000</v>
      </c>
      <c r="I572" s="11"/>
      <c r="J572" s="3"/>
      <c r="K572" s="3"/>
      <c r="L572" s="3"/>
      <c r="M572" s="3"/>
      <c r="N572" s="4">
        <f t="shared" si="21"/>
        <v>-100</v>
      </c>
    </row>
    <row r="573" spans="1:14" ht="39" customHeight="1" x14ac:dyDescent="0.25">
      <c r="A573" t="str">
        <f t="shared" si="20"/>
        <v>061000042083000</v>
      </c>
      <c r="B573" s="3" t="s">
        <v>84</v>
      </c>
      <c r="C573" s="3" t="s">
        <v>1244</v>
      </c>
      <c r="D573" s="3"/>
      <c r="E573" s="3" t="s">
        <v>1251</v>
      </c>
      <c r="F573" s="3" t="s">
        <v>22</v>
      </c>
      <c r="G573" s="3" t="s">
        <v>1252</v>
      </c>
      <c r="H573" s="11">
        <v>5000</v>
      </c>
      <c r="I573" s="11"/>
      <c r="J573" s="3"/>
      <c r="K573" s="3"/>
      <c r="L573" s="3"/>
      <c r="M573" s="3"/>
      <c r="N573" s="4">
        <f t="shared" si="21"/>
        <v>-100</v>
      </c>
    </row>
    <row r="574" spans="1:14" ht="39" customHeight="1" x14ac:dyDescent="0.25">
      <c r="A574" t="str">
        <f t="shared" si="20"/>
        <v>061000045162000</v>
      </c>
      <c r="B574" s="3" t="s">
        <v>84</v>
      </c>
      <c r="C574" s="3" t="s">
        <v>1244</v>
      </c>
      <c r="D574" s="3"/>
      <c r="E574" s="3" t="s">
        <v>1253</v>
      </c>
      <c r="F574" s="3" t="s">
        <v>25</v>
      </c>
      <c r="G574" s="3" t="s">
        <v>1254</v>
      </c>
      <c r="H574" s="11">
        <v>21000</v>
      </c>
      <c r="I574" s="11"/>
      <c r="J574" s="3"/>
      <c r="K574" s="3"/>
      <c r="L574" s="3"/>
      <c r="M574" s="3"/>
      <c r="N574" s="4">
        <f t="shared" si="21"/>
        <v>-100</v>
      </c>
    </row>
    <row r="575" spans="1:14" ht="39" customHeight="1" x14ac:dyDescent="0.25">
      <c r="A575" t="str">
        <f t="shared" si="20"/>
        <v>0610000452418800</v>
      </c>
      <c r="B575" s="3" t="s">
        <v>84</v>
      </c>
      <c r="C575" s="3" t="s">
        <v>1244</v>
      </c>
      <c r="D575" s="3"/>
      <c r="E575" s="3" t="s">
        <v>1255</v>
      </c>
      <c r="F575" s="3" t="s">
        <v>30</v>
      </c>
      <c r="G575" s="3" t="s">
        <v>1256</v>
      </c>
      <c r="H575" s="11">
        <v>12000</v>
      </c>
      <c r="I575" s="11"/>
      <c r="J575" s="3"/>
      <c r="K575" s="3"/>
      <c r="L575" s="3"/>
      <c r="M575" s="3"/>
      <c r="N575" s="4">
        <f t="shared" si="21"/>
        <v>-100</v>
      </c>
    </row>
    <row r="576" spans="1:14" ht="39" customHeight="1" x14ac:dyDescent="0.25">
      <c r="A576" t="str">
        <f t="shared" si="20"/>
        <v>0610000452712000</v>
      </c>
      <c r="B576" s="3" t="s">
        <v>84</v>
      </c>
      <c r="C576" s="3" t="s">
        <v>1244</v>
      </c>
      <c r="D576" s="3"/>
      <c r="E576" s="3" t="s">
        <v>1257</v>
      </c>
      <c r="F576" s="3" t="s">
        <v>23</v>
      </c>
      <c r="G576" s="3" t="s">
        <v>1258</v>
      </c>
      <c r="H576" s="11">
        <v>7000</v>
      </c>
      <c r="I576" s="11"/>
      <c r="J576" s="3"/>
      <c r="K576" s="3"/>
      <c r="L576" s="3"/>
      <c r="M576" s="3"/>
      <c r="N576" s="4">
        <f t="shared" si="21"/>
        <v>-100</v>
      </c>
    </row>
    <row r="577" spans="1:14" ht="39" customHeight="1" x14ac:dyDescent="0.25">
      <c r="A577" t="str">
        <f t="shared" si="20"/>
        <v>0610000452816500</v>
      </c>
      <c r="B577" s="3" t="s">
        <v>84</v>
      </c>
      <c r="C577" s="3" t="s">
        <v>1244</v>
      </c>
      <c r="D577" s="3"/>
      <c r="E577" s="3" t="s">
        <v>1259</v>
      </c>
      <c r="F577" s="3" t="s">
        <v>25</v>
      </c>
      <c r="G577" s="3" t="s">
        <v>1260</v>
      </c>
      <c r="H577" s="11">
        <v>40000</v>
      </c>
      <c r="I577" s="11"/>
      <c r="J577" s="3"/>
      <c r="K577" s="3"/>
      <c r="L577" s="3"/>
      <c r="M577" s="3"/>
      <c r="N577" s="4">
        <f t="shared" si="21"/>
        <v>-100</v>
      </c>
    </row>
    <row r="578" spans="1:14" ht="39" customHeight="1" x14ac:dyDescent="0.25">
      <c r="A578" t="str">
        <f t="shared" si="20"/>
        <v>0610000453010500</v>
      </c>
      <c r="B578" s="3" t="s">
        <v>84</v>
      </c>
      <c r="C578" s="3" t="s">
        <v>1244</v>
      </c>
      <c r="D578" s="3"/>
      <c r="E578" s="3" t="s">
        <v>1261</v>
      </c>
      <c r="F578" s="3" t="s">
        <v>22</v>
      </c>
      <c r="G578" s="3" t="s">
        <v>1262</v>
      </c>
      <c r="H578" s="11">
        <v>5000</v>
      </c>
      <c r="I578" s="11"/>
      <c r="J578" s="3"/>
      <c r="K578" s="3"/>
      <c r="L578" s="3"/>
      <c r="M578" s="3"/>
      <c r="N578" s="4">
        <f t="shared" si="21"/>
        <v>-100</v>
      </c>
    </row>
    <row r="579" spans="1:14" ht="39" customHeight="1" x14ac:dyDescent="0.25">
      <c r="A579" t="str">
        <f t="shared" si="20"/>
        <v>06100004577300</v>
      </c>
      <c r="B579" s="3" t="s">
        <v>84</v>
      </c>
      <c r="C579" s="3" t="s">
        <v>1244</v>
      </c>
      <c r="D579" s="3"/>
      <c r="E579" s="3" t="s">
        <v>1263</v>
      </c>
      <c r="F579" s="3" t="s">
        <v>22</v>
      </c>
      <c r="G579" s="3" t="s">
        <v>1264</v>
      </c>
      <c r="H579" s="11">
        <v>2500</v>
      </c>
      <c r="I579" s="11"/>
      <c r="J579" s="3"/>
      <c r="K579" s="3"/>
      <c r="L579" s="3"/>
      <c r="M579" s="3"/>
      <c r="N579" s="4">
        <f t="shared" si="21"/>
        <v>-100</v>
      </c>
    </row>
    <row r="580" spans="1:14" ht="39" customHeight="1" x14ac:dyDescent="0.25">
      <c r="A580" t="str">
        <f t="shared" si="20"/>
        <v>061000045781500</v>
      </c>
      <c r="B580" s="3" t="s">
        <v>84</v>
      </c>
      <c r="C580" s="3" t="s">
        <v>1244</v>
      </c>
      <c r="D580" s="3" t="s">
        <v>1265</v>
      </c>
      <c r="E580" s="3" t="s">
        <v>1266</v>
      </c>
      <c r="F580" s="3" t="s">
        <v>20</v>
      </c>
      <c r="G580" s="3" t="s">
        <v>1267</v>
      </c>
      <c r="H580" s="11">
        <v>6499.74</v>
      </c>
      <c r="I580" s="11"/>
      <c r="J580" s="3"/>
      <c r="K580" s="3"/>
      <c r="L580" s="3"/>
      <c r="M580" s="3"/>
      <c r="N580" s="4">
        <f t="shared" si="21"/>
        <v>-100</v>
      </c>
    </row>
    <row r="581" spans="1:14" ht="39" customHeight="1" x14ac:dyDescent="0.25">
      <c r="A581" t="str">
        <f t="shared" si="20"/>
        <v>06100004580300</v>
      </c>
      <c r="B581" s="3" t="s">
        <v>84</v>
      </c>
      <c r="C581" s="3" t="s">
        <v>1244</v>
      </c>
      <c r="D581" s="3"/>
      <c r="E581" s="3" t="s">
        <v>1268</v>
      </c>
      <c r="F581" s="3" t="s">
        <v>25</v>
      </c>
      <c r="G581" s="3" t="s">
        <v>1269</v>
      </c>
      <c r="H581" s="11">
        <v>14000</v>
      </c>
      <c r="I581" s="11"/>
      <c r="J581" s="3"/>
      <c r="K581" s="3"/>
      <c r="L581" s="3"/>
      <c r="M581" s="3"/>
      <c r="N581" s="4">
        <f t="shared" si="21"/>
        <v>-100</v>
      </c>
    </row>
    <row r="582" spans="1:14" ht="39" customHeight="1" x14ac:dyDescent="0.25">
      <c r="A582" t="str">
        <f t="shared" si="20"/>
        <v>061000048152600</v>
      </c>
      <c r="B582" s="3" t="s">
        <v>84</v>
      </c>
      <c r="C582" s="3" t="s">
        <v>1244</v>
      </c>
      <c r="D582" s="3"/>
      <c r="E582" s="3" t="s">
        <v>1270</v>
      </c>
      <c r="F582" s="3" t="s">
        <v>23</v>
      </c>
      <c r="G582" s="3" t="s">
        <v>1271</v>
      </c>
      <c r="H582" s="11">
        <v>6500</v>
      </c>
      <c r="I582" s="11"/>
      <c r="J582" s="3"/>
      <c r="K582" s="3"/>
      <c r="L582" s="3"/>
      <c r="M582" s="3"/>
      <c r="N582" s="4">
        <f t="shared" si="21"/>
        <v>-100</v>
      </c>
    </row>
    <row r="583" spans="1:14" ht="39" customHeight="1" x14ac:dyDescent="0.25">
      <c r="A583" t="str">
        <f t="shared" si="20"/>
        <v>061000048523000</v>
      </c>
      <c r="B583" s="3" t="s">
        <v>84</v>
      </c>
      <c r="C583" s="3" t="s">
        <v>1244</v>
      </c>
      <c r="D583" s="3"/>
      <c r="E583" s="3" t="s">
        <v>1272</v>
      </c>
      <c r="F583" s="3" t="s">
        <v>59</v>
      </c>
      <c r="G583" s="3" t="s">
        <v>1273</v>
      </c>
      <c r="H583" s="11">
        <v>1200</v>
      </c>
      <c r="I583" s="11"/>
      <c r="J583" s="3"/>
      <c r="K583" s="3"/>
      <c r="L583" s="3"/>
      <c r="M583" s="3"/>
      <c r="N583" s="4">
        <f t="shared" si="21"/>
        <v>-100</v>
      </c>
    </row>
    <row r="584" spans="1:14" ht="39" customHeight="1" x14ac:dyDescent="0.25">
      <c r="A584" t="str">
        <f t="shared" si="20"/>
        <v>061100027006961</v>
      </c>
      <c r="B584" s="3" t="s">
        <v>84</v>
      </c>
      <c r="C584" s="3" t="s">
        <v>1244</v>
      </c>
      <c r="D584" s="3"/>
      <c r="E584" s="3" t="s">
        <v>1274</v>
      </c>
      <c r="F584" s="3" t="s">
        <v>59</v>
      </c>
      <c r="G584" s="3" t="s">
        <v>1275</v>
      </c>
      <c r="H584" s="11">
        <v>600</v>
      </c>
      <c r="I584" s="11"/>
      <c r="J584" s="3"/>
      <c r="K584" s="3"/>
      <c r="L584" s="3"/>
      <c r="M584" s="3"/>
      <c r="N584" s="4">
        <f t="shared" si="21"/>
        <v>-100</v>
      </c>
    </row>
    <row r="585" spans="1:14" ht="39" customHeight="1" x14ac:dyDescent="0.25">
      <c r="A585" t="str">
        <f t="shared" si="20"/>
        <v>061100030751000</v>
      </c>
      <c r="B585" s="3" t="s">
        <v>84</v>
      </c>
      <c r="C585" s="3" t="s">
        <v>1244</v>
      </c>
      <c r="D585" s="3"/>
      <c r="E585" s="3" t="s">
        <v>1276</v>
      </c>
      <c r="F585" s="3" t="s">
        <v>58</v>
      </c>
      <c r="G585" s="3" t="s">
        <v>1277</v>
      </c>
      <c r="H585" s="11">
        <v>1500</v>
      </c>
      <c r="I585" s="11"/>
      <c r="J585" s="3"/>
      <c r="K585" s="3"/>
      <c r="L585" s="3"/>
      <c r="M585" s="3"/>
      <c r="N585" s="4">
        <f t="shared" si="21"/>
        <v>-100</v>
      </c>
    </row>
    <row r="586" spans="1:14" ht="39" customHeight="1" x14ac:dyDescent="0.25">
      <c r="A586" t="str">
        <f t="shared" si="20"/>
        <v>06110003076700</v>
      </c>
      <c r="B586" s="3" t="s">
        <v>84</v>
      </c>
      <c r="C586" s="3" t="s">
        <v>1244</v>
      </c>
      <c r="D586" s="3"/>
      <c r="E586" s="3" t="s">
        <v>1278</v>
      </c>
      <c r="F586" s="3" t="s">
        <v>54</v>
      </c>
      <c r="G586" s="3" t="s">
        <v>1279</v>
      </c>
      <c r="H586" s="11">
        <v>5500</v>
      </c>
      <c r="I586" s="11"/>
      <c r="J586" s="3"/>
      <c r="K586" s="3"/>
      <c r="L586" s="3"/>
      <c r="M586" s="3"/>
      <c r="N586" s="4">
        <f t="shared" si="21"/>
        <v>-100</v>
      </c>
    </row>
    <row r="587" spans="1:14" ht="39" customHeight="1" x14ac:dyDescent="0.25">
      <c r="A587" t="str">
        <f t="shared" si="20"/>
        <v>061100030858000</v>
      </c>
      <c r="B587" s="3" t="s">
        <v>84</v>
      </c>
      <c r="C587" s="3" t="s">
        <v>1244</v>
      </c>
      <c r="D587" s="3"/>
      <c r="E587" s="3" t="s">
        <v>1280</v>
      </c>
      <c r="F587" s="3" t="s">
        <v>22</v>
      </c>
      <c r="G587" s="3" t="s">
        <v>1281</v>
      </c>
      <c r="H587" s="11">
        <v>8200</v>
      </c>
      <c r="I587" s="11"/>
      <c r="J587" s="3"/>
      <c r="K587" s="3"/>
      <c r="L587" s="3"/>
      <c r="M587" s="3"/>
      <c r="N587" s="4">
        <f t="shared" si="21"/>
        <v>-100</v>
      </c>
    </row>
    <row r="588" spans="1:14" ht="39" customHeight="1" x14ac:dyDescent="0.25">
      <c r="A588" t="str">
        <f t="shared" si="20"/>
        <v>061100030905000</v>
      </c>
      <c r="B588" s="3" t="s">
        <v>84</v>
      </c>
      <c r="C588" s="3" t="s">
        <v>1244</v>
      </c>
      <c r="D588" s="3"/>
      <c r="E588" s="3" t="s">
        <v>1282</v>
      </c>
      <c r="F588" s="3" t="s">
        <v>22</v>
      </c>
      <c r="G588" s="3" t="s">
        <v>1283</v>
      </c>
      <c r="H588" s="11">
        <v>8000</v>
      </c>
      <c r="I588" s="11"/>
      <c r="J588" s="3"/>
      <c r="K588" s="3"/>
      <c r="L588" s="3"/>
      <c r="M588" s="3"/>
      <c r="N588" s="4">
        <f t="shared" si="21"/>
        <v>-100</v>
      </c>
    </row>
    <row r="589" spans="1:14" ht="39" customHeight="1" x14ac:dyDescent="0.25">
      <c r="A589" t="str">
        <f t="shared" si="20"/>
        <v>936900009636000</v>
      </c>
      <c r="B589" s="3" t="s">
        <v>84</v>
      </c>
      <c r="C589" s="3" t="s">
        <v>1244</v>
      </c>
      <c r="D589" s="3"/>
      <c r="E589" s="3" t="s">
        <v>1284</v>
      </c>
      <c r="F589" s="3" t="s">
        <v>54</v>
      </c>
      <c r="G589" s="3" t="s">
        <v>1285</v>
      </c>
      <c r="H589" s="11">
        <v>500</v>
      </c>
      <c r="I589" s="11"/>
      <c r="J589" s="3"/>
      <c r="K589" s="3"/>
      <c r="L589" s="3"/>
      <c r="M589" s="3"/>
      <c r="N589" s="4">
        <f t="shared" si="21"/>
        <v>-100</v>
      </c>
    </row>
    <row r="590" spans="1:14" ht="39" customHeight="1" x14ac:dyDescent="0.25">
      <c r="A590" t="str">
        <f t="shared" si="20"/>
        <v>0622000289630000</v>
      </c>
      <c r="B590" s="3" t="s">
        <v>84</v>
      </c>
      <c r="C590" s="3" t="s">
        <v>1286</v>
      </c>
      <c r="D590" s="3"/>
      <c r="E590" s="3" t="s">
        <v>1287</v>
      </c>
      <c r="F590" s="3" t="s">
        <v>22</v>
      </c>
      <c r="G590" s="3" t="s">
        <v>1288</v>
      </c>
      <c r="H590" s="11">
        <v>16000</v>
      </c>
      <c r="I590" s="11"/>
      <c r="J590" s="3"/>
      <c r="K590" s="3"/>
      <c r="L590" s="3"/>
      <c r="M590" s="3"/>
      <c r="N590" s="4">
        <f t="shared" si="21"/>
        <v>-100</v>
      </c>
    </row>
    <row r="591" spans="1:14" ht="39" customHeight="1" x14ac:dyDescent="0.25">
      <c r="A591" t="str">
        <f t="shared" si="20"/>
        <v>062200041373000</v>
      </c>
      <c r="B591" s="3" t="s">
        <v>84</v>
      </c>
      <c r="C591" s="3" t="s">
        <v>1286</v>
      </c>
      <c r="D591" s="3"/>
      <c r="E591" s="3" t="s">
        <v>1289</v>
      </c>
      <c r="F591" s="3" t="s">
        <v>25</v>
      </c>
      <c r="G591" s="3" t="s">
        <v>1290</v>
      </c>
      <c r="H591" s="11">
        <v>30000</v>
      </c>
      <c r="I591" s="11"/>
      <c r="J591" s="3"/>
      <c r="K591" s="3"/>
      <c r="L591" s="3"/>
      <c r="M591" s="3"/>
      <c r="N591" s="4">
        <f t="shared" si="21"/>
        <v>-100</v>
      </c>
    </row>
    <row r="592" spans="1:14" ht="39" customHeight="1" x14ac:dyDescent="0.25">
      <c r="A592" t="str">
        <f t="shared" si="20"/>
        <v>06220004204800</v>
      </c>
      <c r="B592" s="3" t="s">
        <v>84</v>
      </c>
      <c r="C592" s="3" t="s">
        <v>1286</v>
      </c>
      <c r="D592" s="3"/>
      <c r="E592" s="3" t="s">
        <v>1291</v>
      </c>
      <c r="F592" s="3" t="s">
        <v>30</v>
      </c>
      <c r="G592" s="3" t="s">
        <v>1292</v>
      </c>
      <c r="H592" s="11">
        <v>16000</v>
      </c>
      <c r="I592" s="11"/>
      <c r="J592" s="3"/>
      <c r="K592" s="3"/>
      <c r="L592" s="3"/>
      <c r="M592" s="3"/>
      <c r="N592" s="4">
        <f t="shared" si="21"/>
        <v>-100</v>
      </c>
    </row>
    <row r="593" spans="1:14" ht="39" customHeight="1" x14ac:dyDescent="0.25">
      <c r="A593" t="str">
        <f t="shared" si="20"/>
        <v>062200042481500</v>
      </c>
      <c r="B593" s="3" t="s">
        <v>84</v>
      </c>
      <c r="C593" s="3" t="s">
        <v>1286</v>
      </c>
      <c r="D593" s="3"/>
      <c r="E593" s="3" t="s">
        <v>1293</v>
      </c>
      <c r="F593" s="3" t="s">
        <v>22</v>
      </c>
      <c r="G593" s="3" t="s">
        <v>1294</v>
      </c>
      <c r="H593" s="11">
        <v>54300</v>
      </c>
      <c r="I593" s="11"/>
      <c r="J593" s="3"/>
      <c r="K593" s="3"/>
      <c r="L593" s="3"/>
      <c r="M593" s="3"/>
      <c r="N593" s="4">
        <f t="shared" si="21"/>
        <v>-100</v>
      </c>
    </row>
    <row r="594" spans="1:14" ht="39" customHeight="1" x14ac:dyDescent="0.25">
      <c r="A594" t="str">
        <f t="shared" si="20"/>
        <v>06220004250800</v>
      </c>
      <c r="B594" s="3" t="s">
        <v>84</v>
      </c>
      <c r="C594" s="3" t="s">
        <v>1286</v>
      </c>
      <c r="D594" s="3"/>
      <c r="E594" s="3" t="s">
        <v>1295</v>
      </c>
      <c r="F594" s="3" t="s">
        <v>49</v>
      </c>
      <c r="G594" s="3" t="s">
        <v>1296</v>
      </c>
      <c r="H594" s="11">
        <v>1300</v>
      </c>
      <c r="I594" s="11"/>
      <c r="J594" s="3"/>
      <c r="K594" s="3"/>
      <c r="L594" s="3"/>
      <c r="M594" s="3"/>
      <c r="N594" s="4">
        <f t="shared" si="21"/>
        <v>-100</v>
      </c>
    </row>
    <row r="595" spans="1:14" ht="39" customHeight="1" x14ac:dyDescent="0.25">
      <c r="A595" t="str">
        <f t="shared" si="20"/>
        <v>0622000427512200</v>
      </c>
      <c r="B595" s="3" t="s">
        <v>84</v>
      </c>
      <c r="C595" s="3" t="s">
        <v>1286</v>
      </c>
      <c r="D595" s="3"/>
      <c r="E595" s="3" t="s">
        <v>1297</v>
      </c>
      <c r="F595" s="3" t="s">
        <v>25</v>
      </c>
      <c r="G595" s="3" t="s">
        <v>1298</v>
      </c>
      <c r="H595" s="11">
        <v>6600</v>
      </c>
      <c r="I595" s="11"/>
      <c r="J595" s="3"/>
      <c r="K595" s="3"/>
      <c r="L595" s="3"/>
      <c r="M595" s="3"/>
      <c r="N595" s="4">
        <f t="shared" si="21"/>
        <v>-100</v>
      </c>
    </row>
    <row r="596" spans="1:14" ht="39" customHeight="1" x14ac:dyDescent="0.25">
      <c r="A596" t="str">
        <f t="shared" si="20"/>
        <v>062200042806500</v>
      </c>
      <c r="B596" s="3" t="s">
        <v>84</v>
      </c>
      <c r="C596" s="3" t="s">
        <v>1286</v>
      </c>
      <c r="D596" s="3"/>
      <c r="E596" s="3" t="s">
        <v>1299</v>
      </c>
      <c r="F596" s="3" t="s">
        <v>22</v>
      </c>
      <c r="G596" s="3" t="s">
        <v>1300</v>
      </c>
      <c r="H596" s="11">
        <v>44000</v>
      </c>
      <c r="I596" s="11"/>
      <c r="J596" s="3"/>
      <c r="K596" s="3"/>
      <c r="L596" s="3"/>
      <c r="M596" s="3"/>
      <c r="N596" s="4">
        <f t="shared" si="21"/>
        <v>-100</v>
      </c>
    </row>
    <row r="597" spans="1:14" ht="39" customHeight="1" x14ac:dyDescent="0.25">
      <c r="A597" t="str">
        <f t="shared" si="20"/>
        <v>0622000429517500</v>
      </c>
      <c r="B597" s="3" t="s">
        <v>84</v>
      </c>
      <c r="C597" s="3" t="s">
        <v>1286</v>
      </c>
      <c r="D597" s="3"/>
      <c r="E597" s="3" t="s">
        <v>1301</v>
      </c>
      <c r="F597" s="3" t="s">
        <v>30</v>
      </c>
      <c r="G597" s="3" t="s">
        <v>1302</v>
      </c>
      <c r="H597" s="11">
        <v>6500</v>
      </c>
      <c r="I597" s="11"/>
      <c r="J597" s="3"/>
      <c r="K597" s="3"/>
      <c r="L597" s="3"/>
      <c r="M597" s="3"/>
      <c r="N597" s="4">
        <f t="shared" si="21"/>
        <v>-100</v>
      </c>
    </row>
    <row r="598" spans="1:14" ht="39" customHeight="1" x14ac:dyDescent="0.25">
      <c r="A598" t="str">
        <f t="shared" si="20"/>
        <v>0622000430110500</v>
      </c>
      <c r="B598" s="3" t="s">
        <v>84</v>
      </c>
      <c r="C598" s="3" t="s">
        <v>1286</v>
      </c>
      <c r="D598" s="3"/>
      <c r="E598" s="3" t="s">
        <v>1303</v>
      </c>
      <c r="F598" s="3" t="s">
        <v>30</v>
      </c>
      <c r="G598" s="3" t="s">
        <v>1304</v>
      </c>
      <c r="H598" s="11">
        <v>4000</v>
      </c>
      <c r="I598" s="11"/>
      <c r="J598" s="3"/>
      <c r="K598" s="3"/>
      <c r="L598" s="3"/>
      <c r="M598" s="3"/>
      <c r="N598" s="4">
        <f t="shared" si="21"/>
        <v>-100</v>
      </c>
    </row>
    <row r="599" spans="1:14" ht="39" customHeight="1" x14ac:dyDescent="0.25">
      <c r="A599" t="str">
        <f t="shared" si="20"/>
        <v>062200043043600</v>
      </c>
      <c r="B599" s="3" t="s">
        <v>84</v>
      </c>
      <c r="C599" s="3" t="s">
        <v>1286</v>
      </c>
      <c r="D599" s="3"/>
      <c r="E599" s="3" t="s">
        <v>1305</v>
      </c>
      <c r="F599" s="3" t="s">
        <v>22</v>
      </c>
      <c r="G599" s="3" t="s">
        <v>1306</v>
      </c>
      <c r="H599" s="11">
        <v>9500</v>
      </c>
      <c r="I599" s="11"/>
      <c r="J599" s="3"/>
      <c r="K599" s="3"/>
      <c r="L599" s="3"/>
      <c r="M599" s="3"/>
      <c r="N599" s="4">
        <f t="shared" si="21"/>
        <v>-100</v>
      </c>
    </row>
    <row r="600" spans="1:14" ht="39" customHeight="1" x14ac:dyDescent="0.25">
      <c r="A600" t="str">
        <f t="shared" si="20"/>
        <v>06220004318300</v>
      </c>
      <c r="B600" s="3" t="s">
        <v>84</v>
      </c>
      <c r="C600" s="3" t="s">
        <v>1286</v>
      </c>
      <c r="D600" s="3"/>
      <c r="E600" s="3" t="s">
        <v>1307</v>
      </c>
      <c r="F600" s="3" t="s">
        <v>30</v>
      </c>
      <c r="G600" s="3" t="s">
        <v>1308</v>
      </c>
      <c r="H600" s="11">
        <v>16000</v>
      </c>
      <c r="I600" s="11"/>
      <c r="J600" s="3"/>
      <c r="K600" s="3"/>
      <c r="L600" s="3"/>
      <c r="M600" s="3"/>
      <c r="N600" s="4">
        <f t="shared" si="21"/>
        <v>-100</v>
      </c>
    </row>
    <row r="601" spans="1:14" ht="39" customHeight="1" x14ac:dyDescent="0.25">
      <c r="A601" t="str">
        <f t="shared" si="20"/>
        <v>06220004485300</v>
      </c>
      <c r="B601" s="3" t="s">
        <v>84</v>
      </c>
      <c r="C601" s="3" t="s">
        <v>1286</v>
      </c>
      <c r="D601" s="3"/>
      <c r="E601" s="3" t="s">
        <v>1309</v>
      </c>
      <c r="F601" s="3" t="s">
        <v>36</v>
      </c>
      <c r="G601" s="3" t="s">
        <v>1310</v>
      </c>
      <c r="H601" s="11">
        <v>900</v>
      </c>
      <c r="I601" s="11"/>
      <c r="J601" s="3"/>
      <c r="K601" s="3"/>
      <c r="L601" s="3"/>
      <c r="M601" s="3"/>
      <c r="N601" s="4">
        <f t="shared" si="21"/>
        <v>-100</v>
      </c>
    </row>
    <row r="602" spans="1:14" ht="39" customHeight="1" x14ac:dyDescent="0.25">
      <c r="A602" t="str">
        <f t="shared" si="20"/>
        <v>06220004486300</v>
      </c>
      <c r="B602" s="3" t="s">
        <v>84</v>
      </c>
      <c r="C602" s="3" t="s">
        <v>1286</v>
      </c>
      <c r="D602" s="3"/>
      <c r="E602" s="3" t="s">
        <v>1311</v>
      </c>
      <c r="F602" s="3" t="s">
        <v>28</v>
      </c>
      <c r="G602" s="3" t="s">
        <v>1312</v>
      </c>
      <c r="H602" s="11">
        <v>12000</v>
      </c>
      <c r="I602" s="11"/>
      <c r="J602" s="3"/>
      <c r="K602" s="3"/>
      <c r="L602" s="3"/>
      <c r="M602" s="3"/>
      <c r="N602" s="4">
        <f t="shared" si="21"/>
        <v>-100</v>
      </c>
    </row>
    <row r="603" spans="1:14" ht="39" customHeight="1" x14ac:dyDescent="0.25">
      <c r="A603" t="str">
        <f t="shared" si="20"/>
        <v>062200045082400</v>
      </c>
      <c r="B603" s="3" t="s">
        <v>84</v>
      </c>
      <c r="C603" s="3" t="s">
        <v>1286</v>
      </c>
      <c r="D603" s="3"/>
      <c r="E603" s="3" t="s">
        <v>1313</v>
      </c>
      <c r="F603" s="3" t="s">
        <v>22</v>
      </c>
      <c r="G603" s="3" t="s">
        <v>1314</v>
      </c>
      <c r="H603" s="11">
        <v>4900</v>
      </c>
      <c r="I603" s="11"/>
      <c r="J603" s="3"/>
      <c r="K603" s="3"/>
      <c r="L603" s="3"/>
      <c r="M603" s="3"/>
      <c r="N603" s="4">
        <f t="shared" si="21"/>
        <v>-100</v>
      </c>
    </row>
    <row r="604" spans="1:14" ht="39" customHeight="1" x14ac:dyDescent="0.25">
      <c r="A604" t="str">
        <f t="shared" si="20"/>
        <v>06220004557500</v>
      </c>
      <c r="B604" s="3" t="s">
        <v>84</v>
      </c>
      <c r="C604" s="3" t="s">
        <v>1286</v>
      </c>
      <c r="D604" s="3"/>
      <c r="E604" s="3" t="s">
        <v>1315</v>
      </c>
      <c r="F604" s="3" t="s">
        <v>44</v>
      </c>
      <c r="G604" s="3" t="s">
        <v>1316</v>
      </c>
      <c r="H604" s="11">
        <v>6400</v>
      </c>
      <c r="I604" s="11"/>
      <c r="J604" s="3"/>
      <c r="K604" s="3"/>
      <c r="L604" s="3"/>
      <c r="M604" s="3"/>
      <c r="N604" s="4">
        <f t="shared" si="21"/>
        <v>-100</v>
      </c>
    </row>
    <row r="605" spans="1:14" ht="39" customHeight="1" x14ac:dyDescent="0.25">
      <c r="A605" t="str">
        <f t="shared" si="20"/>
        <v>062200045995700</v>
      </c>
      <c r="B605" s="3" t="s">
        <v>84</v>
      </c>
      <c r="C605" s="3" t="s">
        <v>1286</v>
      </c>
      <c r="D605" s="3"/>
      <c r="E605" s="3" t="s">
        <v>1317</v>
      </c>
      <c r="F605" s="3" t="s">
        <v>30</v>
      </c>
      <c r="G605" s="3" t="s">
        <v>1318</v>
      </c>
      <c r="H605" s="11">
        <v>6000</v>
      </c>
      <c r="I605" s="11"/>
      <c r="J605" s="3"/>
      <c r="K605" s="3"/>
      <c r="L605" s="3"/>
      <c r="M605" s="3"/>
      <c r="N605" s="4">
        <f t="shared" si="21"/>
        <v>-100</v>
      </c>
    </row>
    <row r="606" spans="1:14" ht="39" customHeight="1" x14ac:dyDescent="0.25">
      <c r="A606" t="str">
        <f t="shared" si="20"/>
        <v>06220004605300</v>
      </c>
      <c r="B606" s="3" t="s">
        <v>84</v>
      </c>
      <c r="C606" s="3" t="s">
        <v>1286</v>
      </c>
      <c r="D606" s="3"/>
      <c r="E606" s="3" t="s">
        <v>1319</v>
      </c>
      <c r="F606" s="3" t="s">
        <v>40</v>
      </c>
      <c r="G606" s="3" t="s">
        <v>1320</v>
      </c>
      <c r="H606" s="11">
        <v>200</v>
      </c>
      <c r="I606" s="11"/>
      <c r="J606" s="3"/>
      <c r="K606" s="3"/>
      <c r="L606" s="3"/>
      <c r="M606" s="3"/>
      <c r="N606" s="4">
        <f t="shared" si="21"/>
        <v>-100</v>
      </c>
    </row>
    <row r="607" spans="1:14" ht="39" customHeight="1" x14ac:dyDescent="0.25">
      <c r="A607" t="str">
        <f t="shared" ref="A607:A670" si="22">E569&amp;H569</f>
        <v>06220004605200</v>
      </c>
      <c r="B607" s="3" t="s">
        <v>84</v>
      </c>
      <c r="C607" s="3" t="s">
        <v>1286</v>
      </c>
      <c r="D607" s="3"/>
      <c r="E607" s="3" t="s">
        <v>1321</v>
      </c>
      <c r="F607" s="3" t="s">
        <v>38</v>
      </c>
      <c r="G607" s="3" t="s">
        <v>1322</v>
      </c>
      <c r="H607" s="11">
        <v>1600</v>
      </c>
      <c r="I607" s="11"/>
      <c r="J607" s="3"/>
      <c r="K607" s="3"/>
      <c r="L607" s="3"/>
      <c r="M607" s="3"/>
      <c r="N607" s="4">
        <f t="shared" si="21"/>
        <v>-100</v>
      </c>
    </row>
    <row r="608" spans="1:14" ht="39" customHeight="1" x14ac:dyDescent="0.25">
      <c r="A608" t="str">
        <f t="shared" si="22"/>
        <v>0626000549514400</v>
      </c>
      <c r="B608" s="3" t="s">
        <v>84</v>
      </c>
      <c r="C608" s="3" t="s">
        <v>1286</v>
      </c>
      <c r="D608" s="3"/>
      <c r="E608" s="3" t="s">
        <v>1321</v>
      </c>
      <c r="F608" s="3" t="s">
        <v>38</v>
      </c>
      <c r="G608" s="3" t="s">
        <v>1323</v>
      </c>
      <c r="H608" s="11">
        <v>2000</v>
      </c>
      <c r="I608" s="11"/>
      <c r="J608" s="3"/>
      <c r="K608" s="3"/>
      <c r="L608" s="3"/>
      <c r="M608" s="3"/>
      <c r="N608" s="4">
        <f t="shared" si="21"/>
        <v>-100</v>
      </c>
    </row>
    <row r="609" spans="1:14" ht="39" customHeight="1" x14ac:dyDescent="0.25">
      <c r="A609" t="str">
        <f t="shared" si="22"/>
        <v>062600055715500</v>
      </c>
      <c r="B609" s="3" t="s">
        <v>84</v>
      </c>
      <c r="C609" s="3" t="s">
        <v>1286</v>
      </c>
      <c r="D609" s="3"/>
      <c r="E609" s="3" t="s">
        <v>1321</v>
      </c>
      <c r="F609" s="3" t="s">
        <v>38</v>
      </c>
      <c r="G609" s="3" t="s">
        <v>1324</v>
      </c>
      <c r="H609" s="11">
        <v>1500</v>
      </c>
      <c r="I609" s="11"/>
      <c r="J609" s="3"/>
      <c r="K609" s="3"/>
      <c r="L609" s="3"/>
      <c r="M609" s="3"/>
      <c r="N609" s="4">
        <f t="shared" si="21"/>
        <v>-100</v>
      </c>
    </row>
    <row r="610" spans="1:14" ht="39" customHeight="1" x14ac:dyDescent="0.25">
      <c r="A610" t="str">
        <f t="shared" si="22"/>
        <v>0626000601015000</v>
      </c>
      <c r="B610" s="3" t="s">
        <v>84</v>
      </c>
      <c r="C610" s="3" t="s">
        <v>1286</v>
      </c>
      <c r="D610" s="3"/>
      <c r="E610" s="3" t="s">
        <v>1325</v>
      </c>
      <c r="F610" s="3" t="s">
        <v>39</v>
      </c>
      <c r="G610" s="3" t="s">
        <v>1326</v>
      </c>
      <c r="H610" s="11">
        <v>10000</v>
      </c>
      <c r="I610" s="11"/>
      <c r="J610" s="3"/>
      <c r="K610" s="3"/>
      <c r="L610" s="3"/>
      <c r="M610" s="3"/>
      <c r="N610" s="4">
        <f t="shared" si="21"/>
        <v>-100</v>
      </c>
    </row>
    <row r="611" spans="1:14" ht="39" customHeight="1" x14ac:dyDescent="0.25">
      <c r="A611" t="str">
        <f t="shared" si="22"/>
        <v>062600062655000</v>
      </c>
      <c r="B611" s="3" t="s">
        <v>84</v>
      </c>
      <c r="C611" s="3" t="s">
        <v>1286</v>
      </c>
      <c r="D611" s="3"/>
      <c r="E611" s="3" t="s">
        <v>1327</v>
      </c>
      <c r="F611" s="3" t="s">
        <v>39</v>
      </c>
      <c r="G611" s="3" t="s">
        <v>1328</v>
      </c>
      <c r="H611" s="11">
        <v>9000</v>
      </c>
      <c r="I611" s="11"/>
      <c r="J611" s="3"/>
      <c r="K611" s="3"/>
      <c r="L611" s="3"/>
      <c r="M611" s="3"/>
      <c r="N611" s="4">
        <f t="shared" si="21"/>
        <v>-100</v>
      </c>
    </row>
    <row r="612" spans="1:14" ht="39" customHeight="1" x14ac:dyDescent="0.25">
      <c r="A612" t="str">
        <f t="shared" si="22"/>
        <v>0626000633021000</v>
      </c>
      <c r="B612" s="3" t="s">
        <v>84</v>
      </c>
      <c r="C612" s="3" t="s">
        <v>1329</v>
      </c>
      <c r="D612" s="3"/>
      <c r="E612" s="3" t="s">
        <v>1330</v>
      </c>
      <c r="F612" s="3" t="s">
        <v>22</v>
      </c>
      <c r="G612" s="3" t="s">
        <v>1331</v>
      </c>
      <c r="H612" s="11">
        <v>3500</v>
      </c>
      <c r="I612" s="11"/>
      <c r="J612" s="3"/>
      <c r="K612" s="3"/>
      <c r="L612" s="3"/>
      <c r="M612" s="3"/>
      <c r="N612" s="4">
        <f t="shared" si="21"/>
        <v>-100</v>
      </c>
    </row>
    <row r="613" spans="1:14" ht="39" customHeight="1" x14ac:dyDescent="0.25">
      <c r="A613" t="str">
        <f t="shared" si="22"/>
        <v>0626000636712000</v>
      </c>
      <c r="B613" s="3" t="s">
        <v>84</v>
      </c>
      <c r="C613" s="3" t="s">
        <v>1329</v>
      </c>
      <c r="D613" s="3"/>
      <c r="E613" s="3" t="s">
        <v>1332</v>
      </c>
      <c r="F613" s="3" t="s">
        <v>22</v>
      </c>
      <c r="G613" s="3" t="s">
        <v>1333</v>
      </c>
      <c r="H613" s="11">
        <v>30000</v>
      </c>
      <c r="I613" s="11"/>
      <c r="J613" s="3"/>
      <c r="K613" s="3"/>
      <c r="L613" s="3"/>
      <c r="M613" s="3"/>
      <c r="N613" s="4">
        <f t="shared" si="21"/>
        <v>-100</v>
      </c>
    </row>
    <row r="614" spans="1:14" ht="39" customHeight="1" x14ac:dyDescent="0.25">
      <c r="A614" t="str">
        <f t="shared" si="22"/>
        <v>062600065077000</v>
      </c>
      <c r="B614" s="3" t="s">
        <v>84</v>
      </c>
      <c r="C614" s="3" t="s">
        <v>1329</v>
      </c>
      <c r="D614" s="3"/>
      <c r="E614" s="3" t="s">
        <v>1334</v>
      </c>
      <c r="F614" s="3" t="s">
        <v>19</v>
      </c>
      <c r="G614" s="3" t="s">
        <v>1335</v>
      </c>
      <c r="H614" s="11">
        <v>1000</v>
      </c>
      <c r="I614" s="11"/>
      <c r="J614" s="3"/>
      <c r="K614" s="3"/>
      <c r="L614" s="3"/>
      <c r="M614" s="3"/>
      <c r="N614" s="4">
        <f t="shared" si="21"/>
        <v>-100</v>
      </c>
    </row>
    <row r="615" spans="1:14" ht="39" customHeight="1" x14ac:dyDescent="0.25">
      <c r="A615" t="str">
        <f t="shared" si="22"/>
        <v>0626000652540000</v>
      </c>
      <c r="B615" s="3" t="s">
        <v>84</v>
      </c>
      <c r="C615" s="3" t="s">
        <v>1329</v>
      </c>
      <c r="D615" s="3"/>
      <c r="E615" s="3" t="s">
        <v>1336</v>
      </c>
      <c r="F615" s="3" t="s">
        <v>22</v>
      </c>
      <c r="G615" s="3" t="s">
        <v>1337</v>
      </c>
      <c r="H615" s="11">
        <v>13700</v>
      </c>
      <c r="I615" s="11"/>
      <c r="J615" s="3"/>
      <c r="K615" s="3"/>
      <c r="L615" s="3"/>
      <c r="M615" s="3"/>
      <c r="N615" s="4">
        <f t="shared" si="21"/>
        <v>-100</v>
      </c>
    </row>
    <row r="616" spans="1:14" ht="39" customHeight="1" x14ac:dyDescent="0.25">
      <c r="A616" t="str">
        <f t="shared" si="22"/>
        <v>062600065285000</v>
      </c>
      <c r="B616" s="3" t="s">
        <v>84</v>
      </c>
      <c r="C616" s="3" t="s">
        <v>1329</v>
      </c>
      <c r="D616" s="3"/>
      <c r="E616" s="3" t="s">
        <v>1338</v>
      </c>
      <c r="F616" s="3" t="s">
        <v>22</v>
      </c>
      <c r="G616" s="3" t="s">
        <v>1339</v>
      </c>
      <c r="H616" s="11">
        <v>9200</v>
      </c>
      <c r="I616" s="11"/>
      <c r="J616" s="3"/>
      <c r="K616" s="3"/>
      <c r="L616" s="3"/>
      <c r="M616" s="3"/>
      <c r="N616" s="4">
        <f t="shared" si="21"/>
        <v>-100</v>
      </c>
    </row>
    <row r="617" spans="1:14" ht="39" customHeight="1" x14ac:dyDescent="0.25">
      <c r="A617" t="str">
        <f t="shared" si="22"/>
        <v>062600065732500</v>
      </c>
      <c r="B617" s="3" t="s">
        <v>84</v>
      </c>
      <c r="C617" s="3" t="s">
        <v>1340</v>
      </c>
      <c r="D617" s="3" t="s">
        <v>1341</v>
      </c>
      <c r="E617" s="3" t="s">
        <v>1342</v>
      </c>
      <c r="F617" s="3" t="s">
        <v>22</v>
      </c>
      <c r="G617" s="3" t="s">
        <v>1343</v>
      </c>
      <c r="H617" s="11">
        <v>8799.76</v>
      </c>
      <c r="I617" s="11"/>
      <c r="J617" s="3"/>
      <c r="K617" s="3"/>
      <c r="L617" s="3"/>
      <c r="M617" s="3"/>
      <c r="N617" s="4">
        <f t="shared" si="21"/>
        <v>-100</v>
      </c>
    </row>
    <row r="618" spans="1:14" ht="39" customHeight="1" x14ac:dyDescent="0.25">
      <c r="A618" t="str">
        <f t="shared" si="22"/>
        <v>062600065786499,74</v>
      </c>
      <c r="B618" s="3" t="s">
        <v>84</v>
      </c>
      <c r="C618" s="3" t="s">
        <v>1340</v>
      </c>
      <c r="D618" s="3"/>
      <c r="E618" s="3" t="s">
        <v>1344</v>
      </c>
      <c r="F618" s="3" t="s">
        <v>22</v>
      </c>
      <c r="G618" s="3" t="s">
        <v>1345</v>
      </c>
      <c r="H618" s="11">
        <v>15000</v>
      </c>
      <c r="I618" s="11"/>
      <c r="J618" s="3"/>
      <c r="K618" s="3"/>
      <c r="L618" s="3"/>
      <c r="M618" s="3"/>
      <c r="N618" s="4">
        <f t="shared" si="21"/>
        <v>-100</v>
      </c>
    </row>
    <row r="619" spans="1:14" ht="39" customHeight="1" x14ac:dyDescent="0.25">
      <c r="A619" t="str">
        <f t="shared" si="22"/>
        <v>0626000661014000</v>
      </c>
      <c r="B619" s="3" t="s">
        <v>84</v>
      </c>
      <c r="C619" s="3" t="s">
        <v>1340</v>
      </c>
      <c r="D619" s="3"/>
      <c r="E619" s="3" t="s">
        <v>1346</v>
      </c>
      <c r="F619" s="3" t="s">
        <v>22</v>
      </c>
      <c r="G619" s="3" t="s">
        <v>1347</v>
      </c>
      <c r="H619" s="11">
        <v>16800</v>
      </c>
      <c r="I619" s="11"/>
      <c r="J619" s="3"/>
      <c r="K619" s="3"/>
      <c r="L619" s="3"/>
      <c r="M619" s="3"/>
      <c r="N619" s="4">
        <f t="shared" si="21"/>
        <v>-100</v>
      </c>
    </row>
    <row r="620" spans="1:14" ht="39" customHeight="1" x14ac:dyDescent="0.25">
      <c r="A620" t="str">
        <f t="shared" si="22"/>
        <v>062600066226500</v>
      </c>
      <c r="B620" s="3" t="s">
        <v>84</v>
      </c>
      <c r="C620" s="3" t="s">
        <v>1340</v>
      </c>
      <c r="D620" s="3" t="s">
        <v>1348</v>
      </c>
      <c r="E620" s="3" t="s">
        <v>1349</v>
      </c>
      <c r="F620" s="3" t="s">
        <v>17</v>
      </c>
      <c r="G620" s="3" t="s">
        <v>1350</v>
      </c>
      <c r="H620" s="11">
        <v>6999.32</v>
      </c>
      <c r="I620" s="11"/>
      <c r="J620" s="3"/>
      <c r="K620" s="3"/>
      <c r="L620" s="3"/>
      <c r="M620" s="3"/>
      <c r="N620" s="4">
        <f t="shared" si="21"/>
        <v>-100</v>
      </c>
    </row>
    <row r="621" spans="1:14" ht="39" customHeight="1" x14ac:dyDescent="0.25">
      <c r="A621" t="str">
        <f t="shared" si="22"/>
        <v>062600066451200</v>
      </c>
      <c r="B621" s="3" t="s">
        <v>84</v>
      </c>
      <c r="C621" s="3" t="s">
        <v>1340</v>
      </c>
      <c r="D621" s="3"/>
      <c r="E621" s="3" t="s">
        <v>1351</v>
      </c>
      <c r="F621" s="3" t="s">
        <v>22</v>
      </c>
      <c r="G621" s="3" t="s">
        <v>1352</v>
      </c>
      <c r="H621" s="11">
        <v>44000</v>
      </c>
      <c r="I621" s="11"/>
      <c r="J621" s="3"/>
      <c r="K621" s="3"/>
      <c r="L621" s="3"/>
      <c r="M621" s="3"/>
      <c r="N621" s="4">
        <f t="shared" si="21"/>
        <v>-100</v>
      </c>
    </row>
    <row r="622" spans="1:14" ht="39" customHeight="1" x14ac:dyDescent="0.25">
      <c r="A622" t="str">
        <f t="shared" si="22"/>
        <v>06260006646600</v>
      </c>
      <c r="B622" s="3" t="s">
        <v>84</v>
      </c>
      <c r="C622" s="3" t="s">
        <v>1340</v>
      </c>
      <c r="D622" s="3" t="s">
        <v>1353</v>
      </c>
      <c r="E622" s="3" t="s">
        <v>1354</v>
      </c>
      <c r="F622" s="3" t="s">
        <v>22</v>
      </c>
      <c r="G622" s="3" t="s">
        <v>1355</v>
      </c>
      <c r="H622" s="11">
        <v>30299.64</v>
      </c>
      <c r="I622" s="11"/>
      <c r="J622" s="3"/>
      <c r="K622" s="3"/>
      <c r="L622" s="3"/>
      <c r="M622" s="3"/>
      <c r="N622" s="4">
        <f t="shared" si="21"/>
        <v>-100</v>
      </c>
    </row>
    <row r="623" spans="1:14" ht="39" customHeight="1" x14ac:dyDescent="0.25">
      <c r="A623" t="str">
        <f t="shared" si="22"/>
        <v>062600066471500</v>
      </c>
      <c r="B623" s="3" t="s">
        <v>84</v>
      </c>
      <c r="C623" s="3" t="s">
        <v>1340</v>
      </c>
      <c r="D623" s="3"/>
      <c r="E623" s="3" t="s">
        <v>1356</v>
      </c>
      <c r="F623" s="3" t="s">
        <v>52</v>
      </c>
      <c r="G623" s="3" t="s">
        <v>1357</v>
      </c>
      <c r="H623" s="11">
        <v>10000</v>
      </c>
      <c r="I623" s="11"/>
      <c r="J623" s="3"/>
      <c r="K623" s="3"/>
      <c r="L623" s="3"/>
      <c r="M623" s="3"/>
      <c r="N623" s="4">
        <f t="shared" si="21"/>
        <v>-100</v>
      </c>
    </row>
    <row r="624" spans="1:14" ht="39" customHeight="1" x14ac:dyDescent="0.25">
      <c r="A624" t="str">
        <f t="shared" si="22"/>
        <v>062600067015500</v>
      </c>
      <c r="B624" s="3" t="s">
        <v>84</v>
      </c>
      <c r="C624" s="3" t="s">
        <v>1340</v>
      </c>
      <c r="D624" s="3"/>
      <c r="E624" s="3" t="s">
        <v>1358</v>
      </c>
      <c r="F624" s="3" t="s">
        <v>30</v>
      </c>
      <c r="G624" s="3" t="s">
        <v>1359</v>
      </c>
      <c r="H624" s="11">
        <v>28000</v>
      </c>
      <c r="I624" s="11"/>
      <c r="J624" s="3"/>
      <c r="K624" s="3"/>
      <c r="L624" s="3"/>
      <c r="M624" s="3"/>
      <c r="N624" s="4">
        <f t="shared" si="21"/>
        <v>-100</v>
      </c>
    </row>
    <row r="625" spans="1:14" ht="39" customHeight="1" x14ac:dyDescent="0.25">
      <c r="A625" t="str">
        <f t="shared" si="22"/>
        <v>062600067928200</v>
      </c>
      <c r="B625" s="3" t="s">
        <v>84</v>
      </c>
      <c r="C625" s="3" t="s">
        <v>1340</v>
      </c>
      <c r="D625" s="3"/>
      <c r="E625" s="3" t="s">
        <v>1360</v>
      </c>
      <c r="F625" s="3" t="s">
        <v>40</v>
      </c>
      <c r="G625" s="3" t="s">
        <v>1361</v>
      </c>
      <c r="H625" s="11">
        <v>600</v>
      </c>
      <c r="I625" s="11"/>
      <c r="J625" s="3"/>
      <c r="K625" s="3"/>
      <c r="L625" s="3"/>
      <c r="M625" s="3"/>
      <c r="N625" s="4">
        <f t="shared" si="21"/>
        <v>-100</v>
      </c>
    </row>
    <row r="626" spans="1:14" ht="39" customHeight="1" x14ac:dyDescent="0.25">
      <c r="A626" t="str">
        <f t="shared" si="22"/>
        <v>062600068188000</v>
      </c>
      <c r="B626" s="3" t="s">
        <v>84</v>
      </c>
      <c r="C626" s="3" t="s">
        <v>1340</v>
      </c>
      <c r="D626" s="3"/>
      <c r="E626" s="3" t="s">
        <v>1362</v>
      </c>
      <c r="F626" s="3" t="s">
        <v>41</v>
      </c>
      <c r="G626" s="3" t="s">
        <v>1363</v>
      </c>
      <c r="H626" s="11">
        <v>2000</v>
      </c>
      <c r="I626" s="11"/>
      <c r="J626" s="3"/>
      <c r="K626" s="3"/>
      <c r="L626" s="3"/>
      <c r="M626" s="3"/>
      <c r="N626" s="4">
        <f t="shared" si="21"/>
        <v>-100</v>
      </c>
    </row>
    <row r="627" spans="1:14" ht="39" customHeight="1" x14ac:dyDescent="0.25">
      <c r="A627" t="str">
        <f t="shared" si="22"/>
        <v>06260006846500</v>
      </c>
      <c r="B627" s="3" t="s">
        <v>84</v>
      </c>
      <c r="C627" s="3" t="s">
        <v>1340</v>
      </c>
      <c r="D627" s="3"/>
      <c r="E627" s="3" t="s">
        <v>1364</v>
      </c>
      <c r="F627" s="3" t="s">
        <v>22</v>
      </c>
      <c r="G627" s="3" t="s">
        <v>1365</v>
      </c>
      <c r="H627" s="11">
        <v>8500</v>
      </c>
      <c r="I627" s="11"/>
      <c r="J627" s="3"/>
      <c r="K627" s="3"/>
      <c r="L627" s="3"/>
      <c r="M627" s="3"/>
      <c r="N627" s="4">
        <f t="shared" si="21"/>
        <v>-100</v>
      </c>
    </row>
    <row r="628" spans="1:14" ht="39" customHeight="1" x14ac:dyDescent="0.25">
      <c r="A628" t="str">
        <f t="shared" si="22"/>
        <v>0628000278716000</v>
      </c>
      <c r="B628" s="3" t="s">
        <v>84</v>
      </c>
      <c r="C628" s="3" t="s">
        <v>1366</v>
      </c>
      <c r="D628" s="3"/>
      <c r="E628" s="3" t="s">
        <v>1367</v>
      </c>
      <c r="F628" s="3" t="s">
        <v>33</v>
      </c>
      <c r="G628" s="3" t="s">
        <v>1368</v>
      </c>
      <c r="H628" s="11">
        <v>2500</v>
      </c>
      <c r="I628" s="11"/>
      <c r="J628" s="3"/>
      <c r="K628" s="3"/>
      <c r="L628" s="3"/>
      <c r="M628" s="3"/>
      <c r="N628" s="4">
        <f t="shared" si="21"/>
        <v>-100</v>
      </c>
    </row>
    <row r="629" spans="1:14" ht="39" customHeight="1" x14ac:dyDescent="0.25">
      <c r="A629" t="str">
        <f t="shared" si="22"/>
        <v>0628000279730000</v>
      </c>
      <c r="B629" s="3" t="s">
        <v>84</v>
      </c>
      <c r="C629" s="3" t="s">
        <v>1366</v>
      </c>
      <c r="D629" s="3"/>
      <c r="E629" s="3" t="s">
        <v>1369</v>
      </c>
      <c r="F629" s="3" t="s">
        <v>43</v>
      </c>
      <c r="G629" s="3" t="s">
        <v>1370</v>
      </c>
      <c r="H629" s="11">
        <v>2000</v>
      </c>
      <c r="I629" s="11"/>
      <c r="J629" s="3"/>
      <c r="K629" s="3"/>
      <c r="L629" s="3"/>
      <c r="M629" s="3"/>
      <c r="N629" s="4">
        <f t="shared" si="21"/>
        <v>-100</v>
      </c>
    </row>
    <row r="630" spans="1:14" ht="39" customHeight="1" x14ac:dyDescent="0.25">
      <c r="A630" t="str">
        <f t="shared" si="22"/>
        <v>0628000314616000</v>
      </c>
      <c r="B630" s="3" t="s">
        <v>84</v>
      </c>
      <c r="C630" s="3" t="s">
        <v>1366</v>
      </c>
      <c r="D630" s="3"/>
      <c r="E630" s="3" t="s">
        <v>1371</v>
      </c>
      <c r="F630" s="3" t="s">
        <v>39</v>
      </c>
      <c r="G630" s="3" t="s">
        <v>1372</v>
      </c>
      <c r="H630" s="11">
        <v>8400</v>
      </c>
      <c r="I630" s="11"/>
      <c r="J630" s="3"/>
      <c r="K630" s="3"/>
      <c r="L630" s="3"/>
      <c r="M630" s="3"/>
      <c r="N630" s="4">
        <f t="shared" si="21"/>
        <v>-100</v>
      </c>
    </row>
    <row r="631" spans="1:14" ht="39" customHeight="1" x14ac:dyDescent="0.25">
      <c r="A631" t="str">
        <f t="shared" si="22"/>
        <v>0628000329154300</v>
      </c>
      <c r="B631" s="3" t="s">
        <v>84</v>
      </c>
      <c r="C631" s="3" t="s">
        <v>1366</v>
      </c>
      <c r="D631" s="3"/>
      <c r="E631" s="3" t="s">
        <v>1371</v>
      </c>
      <c r="F631" s="3" t="s">
        <v>24</v>
      </c>
      <c r="G631" s="3" t="s">
        <v>1373</v>
      </c>
      <c r="H631" s="11">
        <v>12000</v>
      </c>
      <c r="I631" s="11"/>
      <c r="J631" s="3"/>
      <c r="K631" s="3"/>
      <c r="L631" s="3"/>
      <c r="M631" s="3"/>
      <c r="N631" s="4">
        <f t="shared" si="21"/>
        <v>-100</v>
      </c>
    </row>
    <row r="632" spans="1:14" ht="39" customHeight="1" x14ac:dyDescent="0.25">
      <c r="A632" t="str">
        <f t="shared" si="22"/>
        <v>062800033991300</v>
      </c>
      <c r="B632" s="3" t="s">
        <v>84</v>
      </c>
      <c r="C632" s="3" t="s">
        <v>1366</v>
      </c>
      <c r="D632" s="3"/>
      <c r="E632" s="3" t="s">
        <v>1374</v>
      </c>
      <c r="F632" s="3" t="s">
        <v>35</v>
      </c>
      <c r="G632" s="3" t="s">
        <v>1375</v>
      </c>
      <c r="H632" s="11">
        <v>1200</v>
      </c>
      <c r="I632" s="11"/>
      <c r="J632" s="3"/>
      <c r="K632" s="3"/>
      <c r="L632" s="3"/>
      <c r="M632" s="3"/>
      <c r="N632" s="4">
        <f t="shared" si="21"/>
        <v>-100</v>
      </c>
    </row>
    <row r="633" spans="1:14" ht="39" customHeight="1" x14ac:dyDescent="0.25">
      <c r="A633" t="str">
        <f t="shared" si="22"/>
        <v>062800034586600</v>
      </c>
      <c r="B633" s="3" t="s">
        <v>84</v>
      </c>
      <c r="C633" s="3" t="s">
        <v>1366</v>
      </c>
      <c r="D633" s="3"/>
      <c r="E633" s="3" t="s">
        <v>1376</v>
      </c>
      <c r="F633" s="3" t="s">
        <v>20</v>
      </c>
      <c r="G633" s="3" t="s">
        <v>1377</v>
      </c>
      <c r="H633" s="11">
        <v>4000</v>
      </c>
      <c r="I633" s="11"/>
      <c r="J633" s="3"/>
      <c r="K633" s="3"/>
      <c r="L633" s="3"/>
      <c r="M633" s="3"/>
      <c r="N633" s="4">
        <f t="shared" ref="N633:N696" si="23">IFERROR(((I633*100)/H633)-100,"")</f>
        <v>-100</v>
      </c>
    </row>
    <row r="634" spans="1:14" ht="39" customHeight="1" x14ac:dyDescent="0.25">
      <c r="A634" t="str">
        <f t="shared" si="22"/>
        <v>0628000346544000</v>
      </c>
      <c r="B634" s="3" t="s">
        <v>84</v>
      </c>
      <c r="C634" s="3" t="s">
        <v>1366</v>
      </c>
      <c r="D634" s="3"/>
      <c r="E634" s="3" t="s">
        <v>1378</v>
      </c>
      <c r="F634" s="3" t="s">
        <v>22</v>
      </c>
      <c r="G634" s="3" t="s">
        <v>1379</v>
      </c>
      <c r="H634" s="11">
        <v>4800</v>
      </c>
      <c r="I634" s="11"/>
      <c r="J634" s="3"/>
      <c r="K634" s="3"/>
      <c r="L634" s="3"/>
      <c r="M634" s="3"/>
      <c r="N634" s="4">
        <f t="shared" si="23"/>
        <v>-100</v>
      </c>
    </row>
    <row r="635" spans="1:14" ht="39" customHeight="1" x14ac:dyDescent="0.25">
      <c r="A635" t="str">
        <f t="shared" si="22"/>
        <v>062800034966500</v>
      </c>
      <c r="B635" s="3" t="s">
        <v>84</v>
      </c>
      <c r="C635" s="3" t="s">
        <v>1366</v>
      </c>
      <c r="D635" s="3"/>
      <c r="E635" s="3" t="s">
        <v>1380</v>
      </c>
      <c r="F635" s="3" t="s">
        <v>40</v>
      </c>
      <c r="G635" s="3" t="s">
        <v>1381</v>
      </c>
      <c r="H635" s="11">
        <v>20000</v>
      </c>
      <c r="I635" s="11"/>
      <c r="J635" s="3"/>
      <c r="K635" s="3"/>
      <c r="L635" s="3"/>
      <c r="M635" s="3"/>
      <c r="N635" s="4">
        <f t="shared" si="23"/>
        <v>-100</v>
      </c>
    </row>
    <row r="636" spans="1:14" ht="39" customHeight="1" x14ac:dyDescent="0.25">
      <c r="A636" t="str">
        <f t="shared" si="22"/>
        <v>062800035424000</v>
      </c>
      <c r="B636" s="3" t="s">
        <v>84</v>
      </c>
      <c r="C636" s="3" t="s">
        <v>1366</v>
      </c>
      <c r="D636" s="3"/>
      <c r="E636" s="3" t="s">
        <v>1382</v>
      </c>
      <c r="F636" s="3" t="s">
        <v>22</v>
      </c>
      <c r="G636" s="3" t="s">
        <v>1383</v>
      </c>
      <c r="H636" s="11">
        <v>20700</v>
      </c>
      <c r="I636" s="11"/>
      <c r="J636" s="3"/>
      <c r="K636" s="3"/>
      <c r="L636" s="3"/>
      <c r="M636" s="3"/>
      <c r="N636" s="4">
        <f t="shared" si="23"/>
        <v>-100</v>
      </c>
    </row>
    <row r="637" spans="1:14" ht="39" customHeight="1" x14ac:dyDescent="0.25">
      <c r="A637" t="str">
        <f t="shared" si="22"/>
        <v>062800035819500</v>
      </c>
      <c r="B637" s="3" t="s">
        <v>84</v>
      </c>
      <c r="C637" s="3" t="s">
        <v>1366</v>
      </c>
      <c r="D637" s="3"/>
      <c r="E637" s="3" t="s">
        <v>1384</v>
      </c>
      <c r="F637" s="3" t="s">
        <v>22</v>
      </c>
      <c r="G637" s="3" t="s">
        <v>1385</v>
      </c>
      <c r="H637" s="11">
        <v>22400</v>
      </c>
      <c r="I637" s="11"/>
      <c r="J637" s="3"/>
      <c r="K637" s="3"/>
      <c r="L637" s="3"/>
      <c r="M637" s="3"/>
      <c r="N637" s="4">
        <f t="shared" si="23"/>
        <v>-100</v>
      </c>
    </row>
    <row r="638" spans="1:14" ht="39" customHeight="1" x14ac:dyDescent="0.25">
      <c r="A638" t="str">
        <f t="shared" si="22"/>
        <v>0628000358516000</v>
      </c>
      <c r="B638" s="3" t="s">
        <v>84</v>
      </c>
      <c r="C638" s="3" t="s">
        <v>1366</v>
      </c>
      <c r="D638" s="3"/>
      <c r="E638" s="3" t="s">
        <v>1386</v>
      </c>
      <c r="F638" s="3" t="s">
        <v>22</v>
      </c>
      <c r="G638" s="3" t="s">
        <v>1387</v>
      </c>
      <c r="H638" s="11">
        <v>5000</v>
      </c>
      <c r="I638" s="11"/>
      <c r="J638" s="3"/>
      <c r="K638" s="3"/>
      <c r="L638" s="3"/>
      <c r="M638" s="3"/>
      <c r="N638" s="4">
        <f t="shared" si="23"/>
        <v>-100</v>
      </c>
    </row>
    <row r="639" spans="1:14" ht="39" customHeight="1" x14ac:dyDescent="0.25">
      <c r="A639" t="str">
        <f t="shared" si="22"/>
        <v>06280003793900</v>
      </c>
      <c r="B639" s="3" t="s">
        <v>84</v>
      </c>
      <c r="C639" s="3" t="s">
        <v>1366</v>
      </c>
      <c r="D639" s="3"/>
      <c r="E639" s="3" t="s">
        <v>1388</v>
      </c>
      <c r="F639" s="3" t="s">
        <v>39</v>
      </c>
      <c r="G639" s="3" t="s">
        <v>1389</v>
      </c>
      <c r="H639" s="11">
        <v>3600</v>
      </c>
      <c r="I639" s="11"/>
      <c r="J639" s="3"/>
      <c r="K639" s="3"/>
      <c r="L639" s="3"/>
      <c r="M639" s="3"/>
      <c r="N639" s="4">
        <f t="shared" si="23"/>
        <v>-100</v>
      </c>
    </row>
    <row r="640" spans="1:14" ht="39" customHeight="1" x14ac:dyDescent="0.25">
      <c r="A640" t="str">
        <f t="shared" si="22"/>
        <v>0628000380712000</v>
      </c>
      <c r="B640" s="3" t="s">
        <v>84</v>
      </c>
      <c r="C640" s="3" t="s">
        <v>1390</v>
      </c>
      <c r="D640" s="3"/>
      <c r="E640" s="3" t="s">
        <v>1391</v>
      </c>
      <c r="F640" s="3" t="s">
        <v>16</v>
      </c>
      <c r="G640" s="3" t="s">
        <v>1392</v>
      </c>
      <c r="H640" s="11">
        <v>12000</v>
      </c>
      <c r="I640" s="11"/>
      <c r="J640" s="3"/>
      <c r="K640" s="3"/>
      <c r="L640" s="3"/>
      <c r="M640" s="3"/>
      <c r="N640" s="4">
        <f t="shared" si="23"/>
        <v>-100</v>
      </c>
    </row>
    <row r="641" spans="1:14" ht="39" customHeight="1" x14ac:dyDescent="0.25">
      <c r="A641" t="str">
        <f t="shared" si="22"/>
        <v>062800038144900</v>
      </c>
      <c r="B641" s="3" t="s">
        <v>84</v>
      </c>
      <c r="C641" s="3" t="s">
        <v>1390</v>
      </c>
      <c r="D641" s="3"/>
      <c r="E641" s="3" t="s">
        <v>1393</v>
      </c>
      <c r="F641" s="3" t="s">
        <v>24</v>
      </c>
      <c r="G641" s="3" t="s">
        <v>1394</v>
      </c>
      <c r="H641" s="11">
        <v>20000</v>
      </c>
      <c r="I641" s="11"/>
      <c r="J641" s="3"/>
      <c r="K641" s="3"/>
      <c r="L641" s="3"/>
      <c r="M641" s="3"/>
      <c r="N641" s="4">
        <f t="shared" si="23"/>
        <v>-100</v>
      </c>
    </row>
    <row r="642" spans="1:14" ht="39" customHeight="1" x14ac:dyDescent="0.25">
      <c r="A642" t="str">
        <f t="shared" si="22"/>
        <v>062800038316400</v>
      </c>
      <c r="B642" s="3" t="s">
        <v>84</v>
      </c>
      <c r="C642" s="3" t="s">
        <v>1390</v>
      </c>
      <c r="D642" s="3"/>
      <c r="E642" s="3" t="s">
        <v>1395</v>
      </c>
      <c r="F642" s="3" t="s">
        <v>22</v>
      </c>
      <c r="G642" s="3" t="s">
        <v>1396</v>
      </c>
      <c r="H642" s="11">
        <v>3400</v>
      </c>
      <c r="I642" s="11"/>
      <c r="J642" s="3"/>
      <c r="K642" s="3"/>
      <c r="L642" s="3"/>
      <c r="M642" s="3"/>
      <c r="N642" s="4">
        <f t="shared" si="23"/>
        <v>-100</v>
      </c>
    </row>
    <row r="643" spans="1:14" ht="39" customHeight="1" x14ac:dyDescent="0.25">
      <c r="A643" t="str">
        <f t="shared" si="22"/>
        <v>062800038416000</v>
      </c>
      <c r="B643" s="3" t="s">
        <v>84</v>
      </c>
      <c r="C643" s="3" t="s">
        <v>1390</v>
      </c>
      <c r="D643" s="3"/>
      <c r="E643" s="3" t="s">
        <v>1397</v>
      </c>
      <c r="F643" s="3" t="s">
        <v>22</v>
      </c>
      <c r="G643" s="3" t="s">
        <v>1398</v>
      </c>
      <c r="H643" s="11">
        <v>1400</v>
      </c>
      <c r="I643" s="11"/>
      <c r="J643" s="3"/>
      <c r="K643" s="3"/>
      <c r="L643" s="3"/>
      <c r="M643" s="3"/>
      <c r="N643" s="4">
        <f t="shared" si="23"/>
        <v>-100</v>
      </c>
    </row>
    <row r="644" spans="1:14" ht="39" customHeight="1" x14ac:dyDescent="0.25">
      <c r="A644" t="str">
        <f t="shared" si="22"/>
        <v>06280003973200</v>
      </c>
      <c r="B644" s="3" t="s">
        <v>84</v>
      </c>
      <c r="C644" s="3" t="s">
        <v>1390</v>
      </c>
      <c r="D644" s="3"/>
      <c r="E644" s="3" t="s">
        <v>1399</v>
      </c>
      <c r="F644" s="3" t="s">
        <v>49</v>
      </c>
      <c r="G644" s="3" t="s">
        <v>1400</v>
      </c>
      <c r="H644" s="11">
        <v>700</v>
      </c>
      <c r="I644" s="11"/>
      <c r="J644" s="3"/>
      <c r="K644" s="3"/>
      <c r="L644" s="3"/>
      <c r="M644" s="3"/>
      <c r="N644" s="4">
        <f t="shared" si="23"/>
        <v>-100</v>
      </c>
    </row>
    <row r="645" spans="1:14" ht="39" customHeight="1" x14ac:dyDescent="0.25">
      <c r="A645" t="str">
        <f t="shared" si="22"/>
        <v>062800040211600</v>
      </c>
      <c r="B645" s="3" t="s">
        <v>84</v>
      </c>
      <c r="C645" s="3" t="s">
        <v>1390</v>
      </c>
      <c r="D645" s="3"/>
      <c r="E645" s="3" t="s">
        <v>1401</v>
      </c>
      <c r="F645" s="3" t="s">
        <v>34</v>
      </c>
      <c r="G645" s="3" t="s">
        <v>1402</v>
      </c>
      <c r="H645" s="11">
        <v>1000</v>
      </c>
      <c r="I645" s="11"/>
      <c r="J645" s="3"/>
      <c r="K645" s="3"/>
      <c r="L645" s="3"/>
      <c r="M645" s="3"/>
      <c r="N645" s="4">
        <f t="shared" si="23"/>
        <v>-100</v>
      </c>
    </row>
    <row r="646" spans="1:14" ht="39" customHeight="1" x14ac:dyDescent="0.25">
      <c r="A646" t="str">
        <f t="shared" si="22"/>
        <v>062800040212000</v>
      </c>
      <c r="B646" s="3" t="s">
        <v>84</v>
      </c>
      <c r="C646" s="3" t="s">
        <v>1403</v>
      </c>
      <c r="D646" s="3"/>
      <c r="E646" s="3" t="s">
        <v>1404</v>
      </c>
      <c r="F646" s="3" t="s">
        <v>22</v>
      </c>
      <c r="G646" s="3" t="s">
        <v>1405</v>
      </c>
      <c r="H646" s="11">
        <v>41900</v>
      </c>
      <c r="I646" s="11"/>
      <c r="J646" s="3"/>
      <c r="K646" s="3"/>
      <c r="L646" s="3"/>
      <c r="M646" s="3"/>
      <c r="N646" s="4">
        <f t="shared" si="23"/>
        <v>-100</v>
      </c>
    </row>
    <row r="647" spans="1:14" ht="39" customHeight="1" x14ac:dyDescent="0.25">
      <c r="A647" t="str">
        <f t="shared" si="22"/>
        <v>062800040211500</v>
      </c>
      <c r="B647" s="3" t="s">
        <v>84</v>
      </c>
      <c r="C647" s="3" t="s">
        <v>1403</v>
      </c>
      <c r="D647" s="3"/>
      <c r="E647" s="3" t="s">
        <v>1406</v>
      </c>
      <c r="F647" s="3" t="s">
        <v>25</v>
      </c>
      <c r="G647" s="3" t="s">
        <v>1407</v>
      </c>
      <c r="H647" s="11">
        <v>21000</v>
      </c>
      <c r="I647" s="11"/>
      <c r="J647" s="3"/>
      <c r="K647" s="3"/>
      <c r="L647" s="3"/>
      <c r="M647" s="3"/>
      <c r="N647" s="4">
        <f t="shared" si="23"/>
        <v>-100</v>
      </c>
    </row>
    <row r="648" spans="1:14" ht="39" customHeight="1" x14ac:dyDescent="0.25">
      <c r="A648" t="str">
        <f t="shared" si="22"/>
        <v>9369000023210000</v>
      </c>
      <c r="B648" s="3" t="s">
        <v>84</v>
      </c>
      <c r="C648" s="3" t="s">
        <v>1403</v>
      </c>
      <c r="D648" s="3"/>
      <c r="E648" s="3" t="s">
        <v>1408</v>
      </c>
      <c r="F648" s="3" t="s">
        <v>22</v>
      </c>
      <c r="G648" s="3" t="s">
        <v>1409</v>
      </c>
      <c r="H648" s="11">
        <v>2500</v>
      </c>
      <c r="I648" s="11"/>
      <c r="J648" s="3"/>
      <c r="K648" s="3"/>
      <c r="L648" s="3"/>
      <c r="M648" s="3"/>
      <c r="N648" s="4">
        <f t="shared" si="23"/>
        <v>-100</v>
      </c>
    </row>
    <row r="649" spans="1:14" ht="39" customHeight="1" x14ac:dyDescent="0.25">
      <c r="A649" t="str">
        <f t="shared" si="22"/>
        <v>936900009109000</v>
      </c>
      <c r="B649" s="3" t="s">
        <v>84</v>
      </c>
      <c r="C649" s="3" t="s">
        <v>1403</v>
      </c>
      <c r="D649" s="3"/>
      <c r="E649" s="3" t="s">
        <v>1410</v>
      </c>
      <c r="F649" s="3" t="s">
        <v>1411</v>
      </c>
      <c r="G649" s="3" t="s">
        <v>1412</v>
      </c>
      <c r="H649" s="11">
        <v>4500</v>
      </c>
      <c r="I649" s="11"/>
      <c r="J649" s="3"/>
      <c r="K649" s="3"/>
      <c r="L649" s="3"/>
      <c r="M649" s="3"/>
      <c r="N649" s="4">
        <f t="shared" si="23"/>
        <v>-100</v>
      </c>
    </row>
    <row r="650" spans="1:14" ht="39" customHeight="1" x14ac:dyDescent="0.25">
      <c r="A650" t="str">
        <f t="shared" si="22"/>
        <v>064000026293500</v>
      </c>
      <c r="B650" s="3" t="s">
        <v>84</v>
      </c>
      <c r="C650" s="3" t="s">
        <v>1403</v>
      </c>
      <c r="D650" s="3"/>
      <c r="E650" s="3" t="s">
        <v>1413</v>
      </c>
      <c r="F650" s="3" t="s">
        <v>19</v>
      </c>
      <c r="G650" s="3" t="s">
        <v>1414</v>
      </c>
      <c r="H650" s="11">
        <v>1500</v>
      </c>
      <c r="I650" s="11"/>
      <c r="J650" s="3"/>
      <c r="K650" s="3"/>
      <c r="L650" s="3"/>
      <c r="M650" s="3"/>
      <c r="N650" s="4">
        <f t="shared" si="23"/>
        <v>-100</v>
      </c>
    </row>
    <row r="651" spans="1:14" ht="39" customHeight="1" x14ac:dyDescent="0.25">
      <c r="A651" t="str">
        <f t="shared" si="22"/>
        <v>0640000329030000</v>
      </c>
      <c r="B651" s="3" t="s">
        <v>84</v>
      </c>
      <c r="C651" s="3" t="s">
        <v>1403</v>
      </c>
      <c r="D651" s="3"/>
      <c r="E651" s="3" t="s">
        <v>1415</v>
      </c>
      <c r="F651" s="3" t="s">
        <v>22</v>
      </c>
      <c r="G651" s="3" t="s">
        <v>1416</v>
      </c>
      <c r="H651" s="11">
        <v>6000</v>
      </c>
      <c r="I651" s="11"/>
      <c r="J651" s="3"/>
      <c r="K651" s="3"/>
      <c r="L651" s="3"/>
      <c r="M651" s="3"/>
      <c r="N651" s="4">
        <f t="shared" si="23"/>
        <v>-100</v>
      </c>
    </row>
    <row r="652" spans="1:14" ht="39" customHeight="1" x14ac:dyDescent="0.25">
      <c r="A652" t="str">
        <f t="shared" si="22"/>
        <v>064000037521000</v>
      </c>
      <c r="B652" s="3" t="s">
        <v>84</v>
      </c>
      <c r="C652" s="3" t="s">
        <v>1403</v>
      </c>
      <c r="D652" s="3"/>
      <c r="E652" s="3" t="s">
        <v>1417</v>
      </c>
      <c r="F652" s="3" t="s">
        <v>53</v>
      </c>
      <c r="G652" s="3" t="s">
        <v>1418</v>
      </c>
      <c r="H652" s="11">
        <v>400</v>
      </c>
      <c r="I652" s="11"/>
      <c r="J652" s="3"/>
      <c r="K652" s="3"/>
      <c r="L652" s="3"/>
      <c r="M652" s="3"/>
      <c r="N652" s="4">
        <f t="shared" si="23"/>
        <v>-100</v>
      </c>
    </row>
    <row r="653" spans="1:14" ht="39" customHeight="1" x14ac:dyDescent="0.25">
      <c r="A653" t="str">
        <f t="shared" si="22"/>
        <v>0640000390413700</v>
      </c>
      <c r="B653" s="3" t="s">
        <v>84</v>
      </c>
      <c r="C653" s="3" t="s">
        <v>1403</v>
      </c>
      <c r="D653" s="3"/>
      <c r="E653" s="3" t="s">
        <v>1417</v>
      </c>
      <c r="F653" s="3" t="s">
        <v>57</v>
      </c>
      <c r="G653" s="3" t="s">
        <v>1419</v>
      </c>
      <c r="H653" s="11">
        <v>1000</v>
      </c>
      <c r="I653" s="11"/>
      <c r="J653" s="3"/>
      <c r="K653" s="3"/>
      <c r="L653" s="3"/>
      <c r="M653" s="3"/>
      <c r="N653" s="4">
        <f t="shared" si="23"/>
        <v>-100</v>
      </c>
    </row>
    <row r="654" spans="1:14" ht="39" customHeight="1" x14ac:dyDescent="0.25">
      <c r="A654" t="str">
        <f t="shared" si="22"/>
        <v>064000039869200</v>
      </c>
      <c r="B654" s="3" t="s">
        <v>84</v>
      </c>
      <c r="C654" s="3" t="s">
        <v>1403</v>
      </c>
      <c r="D654" s="3"/>
      <c r="E654" s="3" t="s">
        <v>1420</v>
      </c>
      <c r="F654" s="3" t="s">
        <v>75</v>
      </c>
      <c r="G654" s="3" t="s">
        <v>1421</v>
      </c>
      <c r="H654" s="11">
        <v>2500</v>
      </c>
      <c r="I654" s="11"/>
      <c r="J654" s="3"/>
      <c r="K654" s="3"/>
      <c r="L654" s="3"/>
      <c r="M654" s="3"/>
      <c r="N654" s="4">
        <f t="shared" si="23"/>
        <v>-100</v>
      </c>
    </row>
    <row r="655" spans="1:14" ht="39" customHeight="1" x14ac:dyDescent="0.25">
      <c r="A655" t="str">
        <f t="shared" si="22"/>
        <v>064100032668799,76</v>
      </c>
      <c r="B655" s="3" t="s">
        <v>84</v>
      </c>
      <c r="C655" s="3" t="s">
        <v>1422</v>
      </c>
      <c r="D655" s="3"/>
      <c r="E655" s="3" t="s">
        <v>1423</v>
      </c>
      <c r="F655" s="3" t="s">
        <v>44</v>
      </c>
      <c r="G655" s="3" t="s">
        <v>1424</v>
      </c>
      <c r="H655" s="11">
        <v>1000</v>
      </c>
      <c r="I655" s="11"/>
      <c r="J655" s="3"/>
      <c r="K655" s="3"/>
      <c r="L655" s="3"/>
      <c r="M655" s="3"/>
      <c r="N655" s="4">
        <f t="shared" si="23"/>
        <v>-100</v>
      </c>
    </row>
    <row r="656" spans="1:14" ht="39" customHeight="1" x14ac:dyDescent="0.25">
      <c r="A656" t="str">
        <f t="shared" si="22"/>
        <v>0641000334515000</v>
      </c>
      <c r="B656" s="3" t="s">
        <v>84</v>
      </c>
      <c r="C656" s="3" t="s">
        <v>1422</v>
      </c>
      <c r="D656" s="3"/>
      <c r="E656" s="3" t="s">
        <v>1425</v>
      </c>
      <c r="F656" s="3" t="s">
        <v>22</v>
      </c>
      <c r="G656" s="3" t="s">
        <v>1426</v>
      </c>
      <c r="H656" s="11">
        <v>1000</v>
      </c>
      <c r="I656" s="11"/>
      <c r="J656" s="3"/>
      <c r="K656" s="3"/>
      <c r="L656" s="3"/>
      <c r="M656" s="3"/>
      <c r="N656" s="4">
        <f t="shared" si="23"/>
        <v>-100</v>
      </c>
    </row>
    <row r="657" spans="1:14" ht="39" customHeight="1" x14ac:dyDescent="0.25">
      <c r="A657" t="str">
        <f t="shared" si="22"/>
        <v>0641000356816800</v>
      </c>
      <c r="B657" s="3" t="s">
        <v>84</v>
      </c>
      <c r="C657" s="3" t="s">
        <v>1422</v>
      </c>
      <c r="D657" s="3"/>
      <c r="E657" s="3" t="s">
        <v>1427</v>
      </c>
      <c r="F657" s="3" t="s">
        <v>46</v>
      </c>
      <c r="G657" s="3" t="s">
        <v>1428</v>
      </c>
      <c r="H657" s="11">
        <v>1500</v>
      </c>
      <c r="I657" s="11"/>
      <c r="J657" s="3"/>
      <c r="K657" s="3"/>
      <c r="L657" s="3"/>
      <c r="M657" s="3"/>
      <c r="N657" s="4">
        <f t="shared" si="23"/>
        <v>-100</v>
      </c>
    </row>
    <row r="658" spans="1:14" ht="39" customHeight="1" x14ac:dyDescent="0.25">
      <c r="A658" t="str">
        <f t="shared" si="22"/>
        <v>064100040446999,32</v>
      </c>
      <c r="B658" s="3" t="s">
        <v>84</v>
      </c>
      <c r="C658" s="3" t="s">
        <v>1422</v>
      </c>
      <c r="D658" s="3"/>
      <c r="E658" s="3" t="s">
        <v>1429</v>
      </c>
      <c r="F658" s="3" t="s">
        <v>39</v>
      </c>
      <c r="G658" s="3" t="s">
        <v>1430</v>
      </c>
      <c r="H658" s="11">
        <v>6500</v>
      </c>
      <c r="I658" s="11"/>
      <c r="J658" s="3"/>
      <c r="K658" s="3"/>
      <c r="L658" s="3"/>
      <c r="M658" s="3"/>
      <c r="N658" s="4">
        <f t="shared" si="23"/>
        <v>-100</v>
      </c>
    </row>
    <row r="659" spans="1:14" ht="39" customHeight="1" x14ac:dyDescent="0.25">
      <c r="A659" t="str">
        <f t="shared" si="22"/>
        <v>0641000409644000</v>
      </c>
      <c r="B659" s="3" t="s">
        <v>84</v>
      </c>
      <c r="C659" s="3" t="s">
        <v>1422</v>
      </c>
      <c r="D659" s="3"/>
      <c r="E659" s="3" t="s">
        <v>1431</v>
      </c>
      <c r="F659" s="3" t="s">
        <v>30</v>
      </c>
      <c r="G659" s="3" t="s">
        <v>1432</v>
      </c>
      <c r="H659" s="11">
        <v>9000</v>
      </c>
      <c r="I659" s="11"/>
      <c r="J659" s="3"/>
      <c r="K659" s="3"/>
      <c r="L659" s="3"/>
      <c r="M659" s="3"/>
      <c r="N659" s="4">
        <f t="shared" si="23"/>
        <v>-100</v>
      </c>
    </row>
    <row r="660" spans="1:14" ht="39" customHeight="1" x14ac:dyDescent="0.25">
      <c r="A660" t="str">
        <f t="shared" si="22"/>
        <v>0641000447430299,64</v>
      </c>
      <c r="B660" s="3" t="s">
        <v>84</v>
      </c>
      <c r="C660" s="3" t="s">
        <v>1422</v>
      </c>
      <c r="D660" s="3"/>
      <c r="E660" s="3" t="s">
        <v>1433</v>
      </c>
      <c r="F660" s="3" t="s">
        <v>22</v>
      </c>
      <c r="G660" s="3" t="s">
        <v>1434</v>
      </c>
      <c r="H660" s="11">
        <v>2000</v>
      </c>
      <c r="I660" s="11"/>
      <c r="J660" s="3"/>
      <c r="K660" s="3"/>
      <c r="L660" s="3"/>
      <c r="M660" s="3"/>
      <c r="N660" s="4">
        <f t="shared" si="23"/>
        <v>-100</v>
      </c>
    </row>
    <row r="661" spans="1:14" ht="39" customHeight="1" x14ac:dyDescent="0.25">
      <c r="A661" t="str">
        <f t="shared" si="22"/>
        <v>0641000466410000</v>
      </c>
      <c r="B661" s="3" t="s">
        <v>84</v>
      </c>
      <c r="C661" s="3" t="s">
        <v>1422</v>
      </c>
      <c r="D661" s="3"/>
      <c r="E661" s="3" t="s">
        <v>1435</v>
      </c>
      <c r="F661" s="3" t="s">
        <v>23</v>
      </c>
      <c r="G661" s="3" t="s">
        <v>1436</v>
      </c>
      <c r="H661" s="11">
        <v>700</v>
      </c>
      <c r="I661" s="11"/>
      <c r="J661" s="3"/>
      <c r="K661" s="3"/>
      <c r="L661" s="3"/>
      <c r="M661" s="3"/>
      <c r="N661" s="4">
        <f t="shared" si="23"/>
        <v>-100</v>
      </c>
    </row>
    <row r="662" spans="1:14" ht="39" customHeight="1" x14ac:dyDescent="0.25">
      <c r="A662" t="str">
        <f t="shared" si="22"/>
        <v>0641000468028000</v>
      </c>
      <c r="B662" s="3" t="s">
        <v>84</v>
      </c>
      <c r="C662" s="3" t="s">
        <v>1422</v>
      </c>
      <c r="D662" s="3"/>
      <c r="E662" s="3" t="s">
        <v>1435</v>
      </c>
      <c r="F662" s="3" t="s">
        <v>43</v>
      </c>
      <c r="G662" s="3" t="s">
        <v>1437</v>
      </c>
      <c r="H662" s="11">
        <v>300</v>
      </c>
      <c r="I662" s="11"/>
      <c r="J662" s="3"/>
      <c r="K662" s="3"/>
      <c r="L662" s="3"/>
      <c r="M662" s="3"/>
      <c r="N662" s="4">
        <f t="shared" si="23"/>
        <v>-100</v>
      </c>
    </row>
    <row r="663" spans="1:14" ht="39" customHeight="1" x14ac:dyDescent="0.25">
      <c r="A663" t="str">
        <f t="shared" si="22"/>
        <v>06410004940600</v>
      </c>
      <c r="B663" s="3" t="s">
        <v>84</v>
      </c>
      <c r="C663" s="3" t="s">
        <v>1422</v>
      </c>
      <c r="D663" s="3"/>
      <c r="E663" s="3" t="s">
        <v>1435</v>
      </c>
      <c r="F663" s="3" t="s">
        <v>23</v>
      </c>
      <c r="G663" s="3" t="s">
        <v>1438</v>
      </c>
      <c r="H663" s="11">
        <v>700</v>
      </c>
      <c r="I663" s="11"/>
      <c r="J663" s="3"/>
      <c r="K663" s="3"/>
      <c r="L663" s="3"/>
      <c r="M663" s="3"/>
      <c r="N663" s="4">
        <f t="shared" si="23"/>
        <v>-100</v>
      </c>
    </row>
    <row r="664" spans="1:14" ht="39" customHeight="1" x14ac:dyDescent="0.25">
      <c r="A664" t="str">
        <f t="shared" si="22"/>
        <v>064100049772000</v>
      </c>
      <c r="B664" s="3" t="s">
        <v>84</v>
      </c>
      <c r="C664" s="3" t="s">
        <v>1422</v>
      </c>
      <c r="D664" s="3"/>
      <c r="E664" s="3" t="s">
        <v>1435</v>
      </c>
      <c r="F664" s="3" t="s">
        <v>45</v>
      </c>
      <c r="G664" s="3" t="s">
        <v>1439</v>
      </c>
      <c r="H664" s="11">
        <v>600</v>
      </c>
      <c r="I664" s="11"/>
      <c r="J664" s="3"/>
      <c r="K664" s="3"/>
      <c r="L664" s="3"/>
      <c r="M664" s="3"/>
      <c r="N664" s="4">
        <f t="shared" si="23"/>
        <v>-100</v>
      </c>
    </row>
    <row r="665" spans="1:14" ht="39" customHeight="1" x14ac:dyDescent="0.25">
      <c r="A665" t="str">
        <f t="shared" si="22"/>
        <v>064100049908500</v>
      </c>
      <c r="B665" s="3" t="s">
        <v>84</v>
      </c>
      <c r="C665" s="3" t="s">
        <v>1422</v>
      </c>
      <c r="D665" s="3"/>
      <c r="E665" s="3" t="s">
        <v>1435</v>
      </c>
      <c r="F665" s="3" t="s">
        <v>44</v>
      </c>
      <c r="G665" s="3" t="s">
        <v>1440</v>
      </c>
      <c r="H665" s="11">
        <v>800</v>
      </c>
      <c r="I665" s="11"/>
      <c r="J665" s="3"/>
      <c r="K665" s="3"/>
      <c r="L665" s="3"/>
      <c r="M665" s="3"/>
      <c r="N665" s="4">
        <f t="shared" si="23"/>
        <v>-100</v>
      </c>
    </row>
    <row r="666" spans="1:14" ht="39" customHeight="1" x14ac:dyDescent="0.25">
      <c r="A666" t="str">
        <f t="shared" si="22"/>
        <v>064600007182500</v>
      </c>
      <c r="B666" s="3" t="s">
        <v>84</v>
      </c>
      <c r="C666" s="3" t="s">
        <v>1422</v>
      </c>
      <c r="D666" s="3"/>
      <c r="E666" s="3" t="s">
        <v>1441</v>
      </c>
      <c r="F666" s="3" t="s">
        <v>27</v>
      </c>
      <c r="G666" s="3" t="s">
        <v>1442</v>
      </c>
      <c r="H666" s="11">
        <v>10000</v>
      </c>
      <c r="I666" s="11"/>
      <c r="J666" s="3"/>
      <c r="K666" s="3"/>
      <c r="L666" s="3"/>
      <c r="M666" s="3"/>
      <c r="N666" s="4">
        <f t="shared" si="23"/>
        <v>-100</v>
      </c>
    </row>
    <row r="667" spans="1:14" ht="39" customHeight="1" x14ac:dyDescent="0.25">
      <c r="A667" t="str">
        <f t="shared" si="22"/>
        <v>064600020142000</v>
      </c>
      <c r="B667" s="3" t="s">
        <v>84</v>
      </c>
      <c r="C667" s="3" t="s">
        <v>1422</v>
      </c>
      <c r="D667" s="3"/>
      <c r="E667" s="3" t="s">
        <v>1443</v>
      </c>
      <c r="F667" s="3" t="s">
        <v>22</v>
      </c>
      <c r="G667" s="3" t="s">
        <v>1444</v>
      </c>
      <c r="H667" s="11">
        <v>1300</v>
      </c>
      <c r="I667" s="11"/>
      <c r="J667" s="3"/>
      <c r="K667" s="3"/>
      <c r="L667" s="3"/>
      <c r="M667" s="3"/>
      <c r="N667" s="4">
        <f t="shared" si="23"/>
        <v>-100</v>
      </c>
    </row>
    <row r="668" spans="1:14" ht="39" customHeight="1" x14ac:dyDescent="0.25">
      <c r="A668" t="str">
        <f t="shared" si="22"/>
        <v>064600029198400</v>
      </c>
      <c r="B668" s="3" t="s">
        <v>84</v>
      </c>
      <c r="C668" s="3" t="s">
        <v>1422</v>
      </c>
      <c r="D668" s="3"/>
      <c r="E668" s="3" t="s">
        <v>1445</v>
      </c>
      <c r="F668" s="3" t="s">
        <v>22</v>
      </c>
      <c r="G668" s="3" t="s">
        <v>1446</v>
      </c>
      <c r="H668" s="11">
        <v>15000</v>
      </c>
      <c r="I668" s="11"/>
      <c r="J668" s="3"/>
      <c r="K668" s="3"/>
      <c r="L668" s="3"/>
      <c r="M668" s="3"/>
      <c r="N668" s="4">
        <f t="shared" si="23"/>
        <v>-100</v>
      </c>
    </row>
    <row r="669" spans="1:14" ht="39" customHeight="1" x14ac:dyDescent="0.25">
      <c r="A669" t="str">
        <f t="shared" si="22"/>
        <v>0646000291912000</v>
      </c>
      <c r="B669" s="3" t="s">
        <v>84</v>
      </c>
      <c r="C669" s="3" t="s">
        <v>1422</v>
      </c>
      <c r="D669" s="3"/>
      <c r="E669" s="3" t="s">
        <v>1447</v>
      </c>
      <c r="F669" s="3" t="s">
        <v>45</v>
      </c>
      <c r="G669" s="3" t="s">
        <v>1448</v>
      </c>
      <c r="H669" s="11">
        <v>300</v>
      </c>
      <c r="I669" s="11"/>
      <c r="J669" s="3"/>
      <c r="K669" s="3"/>
      <c r="L669" s="3"/>
      <c r="M669" s="3"/>
      <c r="N669" s="4">
        <f t="shared" si="23"/>
        <v>-100</v>
      </c>
    </row>
    <row r="670" spans="1:14" ht="39" customHeight="1" x14ac:dyDescent="0.25">
      <c r="A670" t="str">
        <f t="shared" si="22"/>
        <v>064600030571200</v>
      </c>
      <c r="B670" s="3" t="s">
        <v>84</v>
      </c>
      <c r="C670" s="3" t="s">
        <v>1422</v>
      </c>
      <c r="D670" s="3"/>
      <c r="E670" s="3" t="s">
        <v>1449</v>
      </c>
      <c r="F670" s="3" t="s">
        <v>22</v>
      </c>
      <c r="G670" s="3" t="s">
        <v>1450</v>
      </c>
      <c r="H670" s="11">
        <v>18000</v>
      </c>
      <c r="I670" s="11"/>
      <c r="J670" s="3"/>
      <c r="K670" s="3"/>
      <c r="L670" s="3"/>
      <c r="M670" s="3"/>
      <c r="N670" s="4">
        <f t="shared" si="23"/>
        <v>-100</v>
      </c>
    </row>
    <row r="671" spans="1:14" ht="39" customHeight="1" x14ac:dyDescent="0.25">
      <c r="A671" t="str">
        <f t="shared" ref="A671:A734" si="24">E633&amp;H633</f>
        <v>064600030934000</v>
      </c>
      <c r="B671" s="3" t="s">
        <v>84</v>
      </c>
      <c r="C671" s="3" t="s">
        <v>1422</v>
      </c>
      <c r="D671" s="3"/>
      <c r="E671" s="3" t="s">
        <v>1451</v>
      </c>
      <c r="F671" s="3" t="s">
        <v>22</v>
      </c>
      <c r="G671" s="3" t="s">
        <v>1452</v>
      </c>
      <c r="H671" s="11">
        <v>8400</v>
      </c>
      <c r="I671" s="11"/>
      <c r="J671" s="3"/>
      <c r="K671" s="3"/>
      <c r="L671" s="3"/>
      <c r="M671" s="3"/>
      <c r="N671" s="4">
        <f t="shared" si="23"/>
        <v>-100</v>
      </c>
    </row>
    <row r="672" spans="1:14" ht="39" customHeight="1" x14ac:dyDescent="0.25">
      <c r="A672" t="str">
        <f t="shared" si="24"/>
        <v>064600031254800</v>
      </c>
      <c r="B672" s="3" t="s">
        <v>84</v>
      </c>
      <c r="C672" s="3" t="s">
        <v>1422</v>
      </c>
      <c r="D672" s="3"/>
      <c r="E672" s="3" t="s">
        <v>1453</v>
      </c>
      <c r="F672" s="3" t="s">
        <v>23</v>
      </c>
      <c r="G672" s="3" t="s">
        <v>1454</v>
      </c>
      <c r="H672" s="11">
        <v>800</v>
      </c>
      <c r="I672" s="11"/>
      <c r="J672" s="3"/>
      <c r="K672" s="3"/>
      <c r="L672" s="3"/>
      <c r="M672" s="3"/>
      <c r="N672" s="4">
        <f t="shared" si="23"/>
        <v>-100</v>
      </c>
    </row>
    <row r="673" spans="1:14" ht="39" customHeight="1" x14ac:dyDescent="0.25">
      <c r="A673" t="str">
        <f t="shared" si="24"/>
        <v>0646000313720000</v>
      </c>
      <c r="B673" s="3" t="s">
        <v>84</v>
      </c>
      <c r="C673" s="3" t="s">
        <v>1422</v>
      </c>
      <c r="D673" s="3"/>
      <c r="E673" s="3" t="s">
        <v>1455</v>
      </c>
      <c r="F673" s="3" t="s">
        <v>73</v>
      </c>
      <c r="G673" s="3" t="s">
        <v>1456</v>
      </c>
      <c r="H673" s="11">
        <v>700</v>
      </c>
      <c r="I673" s="11"/>
      <c r="J673" s="3"/>
      <c r="K673" s="3"/>
      <c r="L673" s="3"/>
      <c r="M673" s="3"/>
      <c r="N673" s="4">
        <f t="shared" si="23"/>
        <v>-100</v>
      </c>
    </row>
    <row r="674" spans="1:14" ht="39" customHeight="1" x14ac:dyDescent="0.25">
      <c r="A674" t="str">
        <f t="shared" si="24"/>
        <v>0646000314120700</v>
      </c>
      <c r="B674" s="3" t="s">
        <v>84</v>
      </c>
      <c r="C674" s="3" t="s">
        <v>1422</v>
      </c>
      <c r="D674" s="3"/>
      <c r="E674" s="3" t="s">
        <v>1457</v>
      </c>
      <c r="F674" s="3" t="s">
        <v>22</v>
      </c>
      <c r="G674" s="3" t="s">
        <v>1458</v>
      </c>
      <c r="H674" s="11">
        <v>2000</v>
      </c>
      <c r="I674" s="11"/>
      <c r="J674" s="3"/>
      <c r="K674" s="3"/>
      <c r="L674" s="3"/>
      <c r="M674" s="3"/>
      <c r="N674" s="4">
        <f t="shared" si="23"/>
        <v>-100</v>
      </c>
    </row>
    <row r="675" spans="1:14" ht="39" customHeight="1" x14ac:dyDescent="0.25">
      <c r="A675" t="str">
        <f t="shared" si="24"/>
        <v>0646000315522400</v>
      </c>
      <c r="B675" s="3" t="s">
        <v>84</v>
      </c>
      <c r="C675" s="3" t="s">
        <v>1422</v>
      </c>
      <c r="D675" s="3"/>
      <c r="E675" s="3" t="s">
        <v>1459</v>
      </c>
      <c r="F675" s="3" t="s">
        <v>19</v>
      </c>
      <c r="G675" s="3" t="s">
        <v>1460</v>
      </c>
      <c r="H675" s="11">
        <v>1500</v>
      </c>
      <c r="I675" s="11"/>
      <c r="J675" s="3"/>
      <c r="K675" s="3"/>
      <c r="L675" s="3"/>
      <c r="M675" s="3"/>
      <c r="N675" s="4">
        <f t="shared" si="23"/>
        <v>-100</v>
      </c>
    </row>
    <row r="676" spans="1:14" ht="39" customHeight="1" x14ac:dyDescent="0.25">
      <c r="A676" t="str">
        <f t="shared" si="24"/>
        <v>064600033085000</v>
      </c>
      <c r="B676" s="3" t="s">
        <v>84</v>
      </c>
      <c r="C676" s="3" t="s">
        <v>1422</v>
      </c>
      <c r="D676" s="3"/>
      <c r="E676" s="3" t="s">
        <v>1461</v>
      </c>
      <c r="F676" s="3" t="s">
        <v>22</v>
      </c>
      <c r="G676" s="3" t="s">
        <v>1462</v>
      </c>
      <c r="H676" s="11">
        <v>40000</v>
      </c>
      <c r="I676" s="11"/>
      <c r="J676" s="3"/>
      <c r="K676" s="3"/>
      <c r="L676" s="3"/>
      <c r="M676" s="3"/>
      <c r="N676" s="4">
        <f t="shared" si="23"/>
        <v>-100</v>
      </c>
    </row>
    <row r="677" spans="1:14" ht="39" customHeight="1" x14ac:dyDescent="0.25">
      <c r="A677" t="str">
        <f t="shared" si="24"/>
        <v>064600033163600</v>
      </c>
      <c r="B677" s="3" t="s">
        <v>84</v>
      </c>
      <c r="C677" s="3" t="s">
        <v>1422</v>
      </c>
      <c r="D677" s="3"/>
      <c r="E677" s="3" t="s">
        <v>1463</v>
      </c>
      <c r="F677" s="3" t="s">
        <v>22</v>
      </c>
      <c r="G677" s="3" t="s">
        <v>1464</v>
      </c>
      <c r="H677" s="11">
        <v>35000</v>
      </c>
      <c r="I677" s="11"/>
      <c r="J677" s="3"/>
      <c r="K677" s="3"/>
      <c r="L677" s="3"/>
      <c r="M677" s="3"/>
      <c r="N677" s="4">
        <f t="shared" si="23"/>
        <v>-100</v>
      </c>
    </row>
    <row r="678" spans="1:14" ht="39" customHeight="1" x14ac:dyDescent="0.25">
      <c r="A678" t="str">
        <f t="shared" si="24"/>
        <v>0648000141612000</v>
      </c>
      <c r="B678" s="3" t="s">
        <v>84</v>
      </c>
      <c r="C678" s="3" t="s">
        <v>1422</v>
      </c>
      <c r="D678" s="3"/>
      <c r="E678" s="3" t="s">
        <v>1465</v>
      </c>
      <c r="F678" s="3" t="s">
        <v>22</v>
      </c>
      <c r="G678" s="3" t="s">
        <v>1466</v>
      </c>
      <c r="H678" s="11">
        <v>500</v>
      </c>
      <c r="I678" s="11" t="s">
        <v>26</v>
      </c>
      <c r="J678" s="3"/>
      <c r="K678" s="3"/>
      <c r="L678" s="3"/>
      <c r="M678" s="3"/>
      <c r="N678" s="4" t="str">
        <f t="shared" si="23"/>
        <v/>
      </c>
    </row>
    <row r="679" spans="1:14" ht="39" customHeight="1" x14ac:dyDescent="0.25">
      <c r="A679" t="str">
        <f t="shared" si="24"/>
        <v>0648000144420000</v>
      </c>
      <c r="B679" s="3" t="s">
        <v>84</v>
      </c>
      <c r="C679" s="3" t="s">
        <v>1422</v>
      </c>
      <c r="D679" s="3"/>
      <c r="E679" s="3" t="s">
        <v>1467</v>
      </c>
      <c r="F679" s="3" t="s">
        <v>22</v>
      </c>
      <c r="G679" s="3" t="s">
        <v>1468</v>
      </c>
      <c r="H679" s="11">
        <v>1500</v>
      </c>
      <c r="I679" s="11"/>
      <c r="J679" s="3"/>
      <c r="K679" s="3"/>
      <c r="L679" s="3"/>
      <c r="M679" s="3"/>
      <c r="N679" s="4">
        <f t="shared" si="23"/>
        <v>-100</v>
      </c>
    </row>
    <row r="680" spans="1:14" ht="39" customHeight="1" x14ac:dyDescent="0.25">
      <c r="A680" t="str">
        <f t="shared" si="24"/>
        <v>064800014713400</v>
      </c>
      <c r="B680" s="3" t="s">
        <v>84</v>
      </c>
      <c r="C680" s="3" t="s">
        <v>1422</v>
      </c>
      <c r="D680" s="3"/>
      <c r="E680" s="3" t="s">
        <v>1469</v>
      </c>
      <c r="F680" s="3" t="s">
        <v>22</v>
      </c>
      <c r="G680" s="3" t="s">
        <v>1470</v>
      </c>
      <c r="H680" s="11">
        <v>4000</v>
      </c>
      <c r="I680" s="11"/>
      <c r="J680" s="3"/>
      <c r="K680" s="3"/>
      <c r="L680" s="3"/>
      <c r="M680" s="3"/>
      <c r="N680" s="4">
        <f t="shared" si="23"/>
        <v>-100</v>
      </c>
    </row>
    <row r="681" spans="1:14" ht="39" customHeight="1" x14ac:dyDescent="0.25">
      <c r="A681" t="str">
        <f t="shared" si="24"/>
        <v>064800017001400</v>
      </c>
      <c r="B681" s="3" t="s">
        <v>84</v>
      </c>
      <c r="C681" s="3" t="s">
        <v>1422</v>
      </c>
      <c r="D681" s="3"/>
      <c r="E681" s="3" t="s">
        <v>1471</v>
      </c>
      <c r="F681" s="3" t="s">
        <v>25</v>
      </c>
      <c r="G681" s="3" t="s">
        <v>1472</v>
      </c>
      <c r="H681" s="11">
        <v>52000</v>
      </c>
      <c r="I681" s="11"/>
      <c r="J681" s="3"/>
      <c r="K681" s="3"/>
      <c r="L681" s="3"/>
      <c r="M681" s="3"/>
      <c r="N681" s="4">
        <f t="shared" si="23"/>
        <v>-100</v>
      </c>
    </row>
    <row r="682" spans="1:14" ht="39" customHeight="1" x14ac:dyDescent="0.25">
      <c r="A682" t="str">
        <f t="shared" si="24"/>
        <v>06480001703700</v>
      </c>
      <c r="B682" s="3" t="s">
        <v>84</v>
      </c>
      <c r="C682" s="3" t="s">
        <v>1473</v>
      </c>
      <c r="D682" s="3" t="s">
        <v>1474</v>
      </c>
      <c r="E682" s="3" t="s">
        <v>1475</v>
      </c>
      <c r="F682" s="3" t="s">
        <v>22</v>
      </c>
      <c r="G682" s="3" t="s">
        <v>1476</v>
      </c>
      <c r="H682" s="11">
        <v>7499.7</v>
      </c>
      <c r="I682" s="11"/>
      <c r="J682" s="3"/>
      <c r="K682" s="3"/>
      <c r="L682" s="3"/>
      <c r="M682" s="3"/>
      <c r="N682" s="4">
        <f t="shared" si="23"/>
        <v>-100</v>
      </c>
    </row>
    <row r="683" spans="1:14" ht="39" customHeight="1" x14ac:dyDescent="0.25">
      <c r="A683" t="str">
        <f t="shared" si="24"/>
        <v>064800017101000</v>
      </c>
      <c r="B683" s="3" t="s">
        <v>84</v>
      </c>
      <c r="C683" s="3" t="s">
        <v>1473</v>
      </c>
      <c r="D683" s="3"/>
      <c r="E683" s="3" t="s">
        <v>1477</v>
      </c>
      <c r="F683" s="3" t="s">
        <v>20</v>
      </c>
      <c r="G683" s="3" t="s">
        <v>1478</v>
      </c>
      <c r="H683" s="11">
        <v>10900</v>
      </c>
      <c r="I683" s="11"/>
      <c r="J683" s="3"/>
      <c r="K683" s="3"/>
      <c r="L683" s="3"/>
      <c r="M683" s="3"/>
      <c r="N683" s="4">
        <f t="shared" si="23"/>
        <v>-100</v>
      </c>
    </row>
    <row r="684" spans="1:14" ht="39" customHeight="1" x14ac:dyDescent="0.25">
      <c r="A684" t="str">
        <f t="shared" si="24"/>
        <v>0649000244541900</v>
      </c>
      <c r="B684" s="3" t="s">
        <v>84</v>
      </c>
      <c r="C684" s="3" t="s">
        <v>1473</v>
      </c>
      <c r="D684" s="3"/>
      <c r="E684" s="3" t="s">
        <v>1479</v>
      </c>
      <c r="F684" s="3" t="s">
        <v>22</v>
      </c>
      <c r="G684" s="3" t="s">
        <v>1480</v>
      </c>
      <c r="H684" s="11">
        <v>3000</v>
      </c>
      <c r="I684" s="11"/>
      <c r="J684" s="3"/>
      <c r="K684" s="3"/>
      <c r="L684" s="3"/>
      <c r="M684" s="3"/>
      <c r="N684" s="4">
        <f t="shared" si="23"/>
        <v>-100</v>
      </c>
    </row>
    <row r="685" spans="1:14" ht="39" customHeight="1" x14ac:dyDescent="0.25">
      <c r="A685" t="str">
        <f t="shared" si="24"/>
        <v>0649000316521000</v>
      </c>
      <c r="B685" s="3" t="s">
        <v>84</v>
      </c>
      <c r="C685" s="3" t="s">
        <v>1473</v>
      </c>
      <c r="D685" s="3"/>
      <c r="E685" s="3" t="s">
        <v>1481</v>
      </c>
      <c r="F685" s="3" t="s">
        <v>25</v>
      </c>
      <c r="G685" s="3" t="s">
        <v>1482</v>
      </c>
      <c r="H685" s="11">
        <v>41300</v>
      </c>
      <c r="I685" s="11"/>
      <c r="J685" s="3"/>
      <c r="K685" s="3"/>
      <c r="L685" s="3"/>
      <c r="M685" s="3"/>
      <c r="N685" s="4">
        <f t="shared" si="23"/>
        <v>-100</v>
      </c>
    </row>
    <row r="686" spans="1:14" ht="39" customHeight="1" x14ac:dyDescent="0.25">
      <c r="A686" t="str">
        <f t="shared" si="24"/>
        <v>064900031892500</v>
      </c>
      <c r="B686" s="3" t="s">
        <v>84</v>
      </c>
      <c r="C686" s="3" t="s">
        <v>1473</v>
      </c>
      <c r="D686" s="3"/>
      <c r="E686" s="3" t="s">
        <v>1483</v>
      </c>
      <c r="F686" s="3" t="s">
        <v>32</v>
      </c>
      <c r="G686" s="3" t="s">
        <v>1484</v>
      </c>
      <c r="H686" s="11">
        <v>2000</v>
      </c>
      <c r="I686" s="11"/>
      <c r="J686" s="3"/>
      <c r="K686" s="3"/>
      <c r="L686" s="3"/>
      <c r="M686" s="3"/>
      <c r="N686" s="4">
        <f t="shared" si="23"/>
        <v>-100</v>
      </c>
    </row>
    <row r="687" spans="1:14" ht="39" customHeight="1" x14ac:dyDescent="0.25">
      <c r="A687" t="str">
        <f t="shared" si="24"/>
        <v>064900034544500</v>
      </c>
      <c r="B687" s="3" t="s">
        <v>84</v>
      </c>
      <c r="C687" s="3" t="s">
        <v>1473</v>
      </c>
      <c r="D687" s="3"/>
      <c r="E687" s="3" t="s">
        <v>1485</v>
      </c>
      <c r="F687" s="3" t="s">
        <v>33</v>
      </c>
      <c r="G687" s="3" t="s">
        <v>1486</v>
      </c>
      <c r="H687" s="11">
        <v>5200</v>
      </c>
      <c r="I687" s="11"/>
      <c r="J687" s="3"/>
      <c r="K687" s="3"/>
      <c r="L687" s="3"/>
      <c r="M687" s="3"/>
      <c r="N687" s="4">
        <f t="shared" si="23"/>
        <v>-100</v>
      </c>
    </row>
    <row r="688" spans="1:14" ht="39" customHeight="1" x14ac:dyDescent="0.25">
      <c r="A688" t="str">
        <f t="shared" si="24"/>
        <v>064900036911500</v>
      </c>
      <c r="B688" s="3" t="s">
        <v>84</v>
      </c>
      <c r="C688" s="3" t="s">
        <v>1473</v>
      </c>
      <c r="D688" s="3"/>
      <c r="E688" s="3" t="s">
        <v>1487</v>
      </c>
      <c r="F688" s="3" t="s">
        <v>40</v>
      </c>
      <c r="G688" s="3" t="s">
        <v>1488</v>
      </c>
      <c r="H688" s="11">
        <v>2000</v>
      </c>
      <c r="I688" s="11"/>
      <c r="J688" s="3"/>
      <c r="K688" s="3"/>
      <c r="L688" s="3"/>
      <c r="M688" s="3"/>
      <c r="N688" s="4">
        <f t="shared" si="23"/>
        <v>-100</v>
      </c>
    </row>
    <row r="689" spans="1:14" ht="39" customHeight="1" x14ac:dyDescent="0.25">
      <c r="A689" t="str">
        <f t="shared" si="24"/>
        <v>064900037056000</v>
      </c>
      <c r="B689" s="3" t="s">
        <v>84</v>
      </c>
      <c r="C689" s="3" t="s">
        <v>1473</v>
      </c>
      <c r="D689" s="3"/>
      <c r="E689" s="3" t="s">
        <v>1489</v>
      </c>
      <c r="F689" s="3" t="s">
        <v>22</v>
      </c>
      <c r="G689" s="3" t="s">
        <v>1490</v>
      </c>
      <c r="H689" s="11">
        <v>4000</v>
      </c>
      <c r="I689" s="11"/>
      <c r="J689" s="3"/>
      <c r="K689" s="3"/>
      <c r="L689" s="3"/>
      <c r="M689" s="3"/>
      <c r="N689" s="4">
        <f t="shared" si="23"/>
        <v>-100</v>
      </c>
    </row>
    <row r="690" spans="1:14" ht="39" customHeight="1" x14ac:dyDescent="0.25">
      <c r="A690" t="str">
        <f t="shared" si="24"/>
        <v>06490003706400</v>
      </c>
      <c r="B690" s="3" t="s">
        <v>84</v>
      </c>
      <c r="C690" s="3" t="s">
        <v>1473</v>
      </c>
      <c r="D690" s="3"/>
      <c r="E690" s="3" t="s">
        <v>1491</v>
      </c>
      <c r="F690" s="3" t="s">
        <v>49</v>
      </c>
      <c r="G690" s="3" t="s">
        <v>1492</v>
      </c>
      <c r="H690" s="11">
        <v>1200</v>
      </c>
      <c r="I690" s="11"/>
      <c r="J690" s="3"/>
      <c r="K690" s="3"/>
      <c r="L690" s="3"/>
      <c r="M690" s="3"/>
      <c r="N690" s="4">
        <f t="shared" si="23"/>
        <v>-100</v>
      </c>
    </row>
    <row r="691" spans="1:14" ht="39" customHeight="1" x14ac:dyDescent="0.25">
      <c r="A691" t="str">
        <f t="shared" si="24"/>
        <v>064900037061000</v>
      </c>
      <c r="B691" s="3" t="s">
        <v>84</v>
      </c>
      <c r="C691" s="3" t="s">
        <v>1473</v>
      </c>
      <c r="D691" s="3"/>
      <c r="E691" s="3" t="s">
        <v>1493</v>
      </c>
      <c r="F691" s="3" t="s">
        <v>70</v>
      </c>
      <c r="G691" s="3" t="s">
        <v>1494</v>
      </c>
      <c r="H691" s="11">
        <v>200</v>
      </c>
      <c r="I691" s="11"/>
      <c r="J691" s="3"/>
      <c r="K691" s="3"/>
      <c r="L691" s="3"/>
      <c r="M691" s="3"/>
      <c r="N691" s="4">
        <f t="shared" si="23"/>
        <v>-100</v>
      </c>
    </row>
    <row r="692" spans="1:14" ht="39" customHeight="1" x14ac:dyDescent="0.25">
      <c r="A692" t="str">
        <f t="shared" si="24"/>
        <v>064900037832500</v>
      </c>
      <c r="B692" s="3" t="s">
        <v>84</v>
      </c>
      <c r="C692" s="3" t="s">
        <v>1473</v>
      </c>
      <c r="D692" s="3"/>
      <c r="E692" s="3" t="s">
        <v>1495</v>
      </c>
      <c r="F692" s="3" t="s">
        <v>32</v>
      </c>
      <c r="G692" s="3" t="s">
        <v>1496</v>
      </c>
      <c r="H692" s="11">
        <v>300</v>
      </c>
      <c r="I692" s="11"/>
      <c r="J692" s="3"/>
      <c r="K692" s="3"/>
      <c r="L692" s="3"/>
      <c r="M692" s="3"/>
      <c r="N692" s="4">
        <f t="shared" si="23"/>
        <v>-100</v>
      </c>
    </row>
    <row r="693" spans="1:14" ht="39" customHeight="1" x14ac:dyDescent="0.25">
      <c r="A693" t="str">
        <f t="shared" si="24"/>
        <v>065200021411000</v>
      </c>
      <c r="B693" s="3" t="s">
        <v>84</v>
      </c>
      <c r="C693" s="3" t="s">
        <v>1473</v>
      </c>
      <c r="D693" s="3"/>
      <c r="E693" s="3" t="s">
        <v>1497</v>
      </c>
      <c r="F693" s="3" t="s">
        <v>22</v>
      </c>
      <c r="G693" s="3" t="s">
        <v>1498</v>
      </c>
      <c r="H693" s="11">
        <v>12100</v>
      </c>
      <c r="I693" s="11"/>
      <c r="J693" s="3"/>
      <c r="K693" s="3"/>
      <c r="L693" s="3"/>
      <c r="M693" s="3"/>
      <c r="N693" s="4">
        <f t="shared" si="23"/>
        <v>-100</v>
      </c>
    </row>
    <row r="694" spans="1:14" ht="39" customHeight="1" x14ac:dyDescent="0.25">
      <c r="A694" t="str">
        <f t="shared" si="24"/>
        <v>065200022781000</v>
      </c>
      <c r="B694" s="3" t="s">
        <v>84</v>
      </c>
      <c r="C694" s="3" t="s">
        <v>1473</v>
      </c>
      <c r="D694" s="3"/>
      <c r="E694" s="3" t="s">
        <v>1499</v>
      </c>
      <c r="F694" s="3" t="s">
        <v>45</v>
      </c>
      <c r="G694" s="3" t="s">
        <v>1500</v>
      </c>
      <c r="H694" s="11">
        <v>700</v>
      </c>
      <c r="I694" s="11"/>
      <c r="J694" s="3"/>
      <c r="K694" s="3"/>
      <c r="L694" s="3"/>
      <c r="M694" s="3"/>
      <c r="N694" s="4">
        <f t="shared" si="23"/>
        <v>-100</v>
      </c>
    </row>
    <row r="695" spans="1:14" ht="39" customHeight="1" x14ac:dyDescent="0.25">
      <c r="A695" t="str">
        <f t="shared" si="24"/>
        <v>065200029461500</v>
      </c>
      <c r="B695" s="3" t="s">
        <v>84</v>
      </c>
      <c r="C695" s="3" t="s">
        <v>1473</v>
      </c>
      <c r="D695" s="3"/>
      <c r="E695" s="3" t="s">
        <v>1501</v>
      </c>
      <c r="F695" s="3" t="s">
        <v>22</v>
      </c>
      <c r="G695" s="3" t="s">
        <v>1502</v>
      </c>
      <c r="H695" s="11">
        <v>2700</v>
      </c>
      <c r="I695" s="11"/>
      <c r="J695" s="3"/>
      <c r="K695" s="3"/>
      <c r="L695" s="3"/>
      <c r="M695" s="3"/>
      <c r="N695" s="4">
        <f t="shared" si="23"/>
        <v>-100</v>
      </c>
    </row>
    <row r="696" spans="1:14" ht="39" customHeight="1" x14ac:dyDescent="0.25">
      <c r="A696" t="str">
        <f t="shared" si="24"/>
        <v>065200030266500</v>
      </c>
      <c r="B696" s="3" t="s">
        <v>84</v>
      </c>
      <c r="C696" s="3" t="s">
        <v>1473</v>
      </c>
      <c r="D696" s="3"/>
      <c r="E696" s="3" t="s">
        <v>1503</v>
      </c>
      <c r="F696" s="3" t="s">
        <v>67</v>
      </c>
      <c r="G696" s="3" t="s">
        <v>1504</v>
      </c>
      <c r="H696" s="11">
        <v>400</v>
      </c>
      <c r="I696" s="11"/>
      <c r="J696" s="3"/>
      <c r="K696" s="3"/>
      <c r="L696" s="3"/>
      <c r="M696" s="3"/>
      <c r="N696" s="4">
        <f t="shared" si="23"/>
        <v>-100</v>
      </c>
    </row>
    <row r="697" spans="1:14" ht="39" customHeight="1" x14ac:dyDescent="0.25">
      <c r="A697" t="str">
        <f t="shared" si="24"/>
        <v>065200031189000</v>
      </c>
      <c r="B697" s="3" t="s">
        <v>84</v>
      </c>
      <c r="C697" s="3" t="s">
        <v>1473</v>
      </c>
      <c r="D697" s="3"/>
      <c r="E697" s="3" t="s">
        <v>1503</v>
      </c>
      <c r="F697" s="3" t="s">
        <v>27</v>
      </c>
      <c r="G697" s="3" t="s">
        <v>1505</v>
      </c>
      <c r="H697" s="11">
        <v>1000</v>
      </c>
      <c r="I697" s="11"/>
      <c r="J697" s="3"/>
      <c r="K697" s="3"/>
      <c r="L697" s="3"/>
      <c r="M697" s="3"/>
      <c r="N697" s="4">
        <f t="shared" ref="N697:N760" si="25">IFERROR(((I697*100)/H697)-100,"")</f>
        <v>-100</v>
      </c>
    </row>
    <row r="698" spans="1:14" ht="39" customHeight="1" x14ac:dyDescent="0.25">
      <c r="A698" t="str">
        <f t="shared" si="24"/>
        <v>065200032222000</v>
      </c>
      <c r="B698" s="3" t="s">
        <v>84</v>
      </c>
      <c r="C698" s="3" t="s">
        <v>1473</v>
      </c>
      <c r="D698" s="3"/>
      <c r="E698" s="3" t="s">
        <v>1506</v>
      </c>
      <c r="F698" s="3" t="s">
        <v>75</v>
      </c>
      <c r="G698" s="3" t="s">
        <v>1507</v>
      </c>
      <c r="H698" s="11">
        <v>3200</v>
      </c>
      <c r="I698" s="11"/>
      <c r="J698" s="3"/>
      <c r="K698" s="3"/>
      <c r="L698" s="3"/>
      <c r="M698" s="3"/>
      <c r="N698" s="4">
        <f t="shared" si="25"/>
        <v>-100</v>
      </c>
    </row>
    <row r="699" spans="1:14" ht="39" customHeight="1" x14ac:dyDescent="0.25">
      <c r="A699" t="str">
        <f t="shared" si="24"/>
        <v>06520003238700</v>
      </c>
      <c r="B699" s="3" t="s">
        <v>84</v>
      </c>
      <c r="C699" s="3" t="s">
        <v>1473</v>
      </c>
      <c r="D699" s="3"/>
      <c r="E699" s="3" t="s">
        <v>1508</v>
      </c>
      <c r="F699" s="3" t="s">
        <v>65</v>
      </c>
      <c r="G699" s="3" t="s">
        <v>1509</v>
      </c>
      <c r="H699" s="11">
        <v>500</v>
      </c>
      <c r="I699" s="11"/>
      <c r="J699" s="3"/>
      <c r="K699" s="3"/>
      <c r="L699" s="3"/>
      <c r="M699" s="3"/>
      <c r="N699" s="4">
        <f t="shared" si="25"/>
        <v>-100</v>
      </c>
    </row>
    <row r="700" spans="1:14" ht="39" customHeight="1" x14ac:dyDescent="0.25">
      <c r="A700" t="str">
        <f t="shared" si="24"/>
        <v>06520003238300</v>
      </c>
      <c r="B700" s="3" t="s">
        <v>84</v>
      </c>
      <c r="C700" s="3" t="s">
        <v>1473</v>
      </c>
      <c r="D700" s="3"/>
      <c r="E700" s="3" t="s">
        <v>1510</v>
      </c>
      <c r="F700" s="3" t="s">
        <v>28</v>
      </c>
      <c r="G700" s="3" t="s">
        <v>1511</v>
      </c>
      <c r="H700" s="11">
        <v>10400</v>
      </c>
      <c r="I700" s="11"/>
      <c r="J700" s="3"/>
      <c r="K700" s="3"/>
      <c r="L700" s="3"/>
      <c r="M700" s="3"/>
      <c r="N700" s="4">
        <f t="shared" si="25"/>
        <v>-100</v>
      </c>
    </row>
    <row r="701" spans="1:14" ht="39" customHeight="1" x14ac:dyDescent="0.25">
      <c r="A701" t="str">
        <f t="shared" si="24"/>
        <v>06520003238700</v>
      </c>
      <c r="B701" s="3" t="s">
        <v>84</v>
      </c>
      <c r="C701" s="3" t="s">
        <v>1512</v>
      </c>
      <c r="D701" s="3"/>
      <c r="E701" s="3" t="s">
        <v>1513</v>
      </c>
      <c r="F701" s="3" t="s">
        <v>22</v>
      </c>
      <c r="G701" s="3" t="s">
        <v>1514</v>
      </c>
      <c r="H701" s="11">
        <v>3600</v>
      </c>
      <c r="I701" s="11"/>
      <c r="J701" s="3"/>
      <c r="K701" s="3"/>
      <c r="L701" s="3"/>
      <c r="M701" s="3"/>
      <c r="N701" s="4">
        <f t="shared" si="25"/>
        <v>-100</v>
      </c>
    </row>
    <row r="702" spans="1:14" ht="39" customHeight="1" x14ac:dyDescent="0.25">
      <c r="A702" t="str">
        <f t="shared" si="24"/>
        <v>06520003238600</v>
      </c>
      <c r="B702" s="3" t="s">
        <v>84</v>
      </c>
      <c r="C702" s="3" t="s">
        <v>1512</v>
      </c>
      <c r="D702" s="3"/>
      <c r="E702" s="3" t="s">
        <v>1515</v>
      </c>
      <c r="F702" s="3" t="s">
        <v>36</v>
      </c>
      <c r="G702" s="3" t="s">
        <v>1516</v>
      </c>
      <c r="H702" s="11">
        <v>400</v>
      </c>
      <c r="I702" s="11"/>
      <c r="J702" s="3"/>
      <c r="K702" s="3"/>
      <c r="L702" s="3"/>
      <c r="M702" s="3"/>
      <c r="N702" s="4">
        <f t="shared" si="25"/>
        <v>-100</v>
      </c>
    </row>
    <row r="703" spans="1:14" ht="39" customHeight="1" x14ac:dyDescent="0.25">
      <c r="A703" t="str">
        <f t="shared" si="24"/>
        <v>06520003238800</v>
      </c>
      <c r="B703" s="3" t="s">
        <v>84</v>
      </c>
      <c r="C703" s="3" t="s">
        <v>1512</v>
      </c>
      <c r="D703" s="3"/>
      <c r="E703" s="3" t="s">
        <v>1515</v>
      </c>
      <c r="F703" s="3" t="s">
        <v>54</v>
      </c>
      <c r="G703" s="3" t="s">
        <v>1517</v>
      </c>
      <c r="H703" s="11">
        <v>300</v>
      </c>
      <c r="I703" s="11"/>
      <c r="J703" s="3"/>
      <c r="K703" s="3"/>
      <c r="L703" s="3"/>
      <c r="M703" s="3"/>
      <c r="N703" s="4">
        <f t="shared" si="25"/>
        <v>-100</v>
      </c>
    </row>
    <row r="704" spans="1:14" ht="39" customHeight="1" x14ac:dyDescent="0.25">
      <c r="A704" t="str">
        <f t="shared" si="24"/>
        <v>0652000325710000</v>
      </c>
      <c r="B704" s="3" t="s">
        <v>84</v>
      </c>
      <c r="C704" s="3" t="s">
        <v>1512</v>
      </c>
      <c r="D704" s="3"/>
      <c r="E704" s="3" t="s">
        <v>1518</v>
      </c>
      <c r="F704" s="3" t="s">
        <v>22</v>
      </c>
      <c r="G704" s="3" t="s">
        <v>1519</v>
      </c>
      <c r="H704" s="11">
        <v>1400</v>
      </c>
      <c r="I704" s="11"/>
      <c r="J704" s="3"/>
      <c r="K704" s="3"/>
      <c r="L704" s="3"/>
      <c r="M704" s="3"/>
      <c r="N704" s="4">
        <f t="shared" si="25"/>
        <v>-100</v>
      </c>
    </row>
    <row r="705" spans="1:14" ht="39" customHeight="1" x14ac:dyDescent="0.25">
      <c r="A705" t="str">
        <f t="shared" si="24"/>
        <v>065200032871300</v>
      </c>
      <c r="B705" s="3" t="s">
        <v>84</v>
      </c>
      <c r="C705" s="3" t="s">
        <v>1512</v>
      </c>
      <c r="D705" s="3"/>
      <c r="E705" s="3" t="s">
        <v>1520</v>
      </c>
      <c r="F705" s="3" t="s">
        <v>22</v>
      </c>
      <c r="G705" s="3" t="s">
        <v>1521</v>
      </c>
      <c r="H705" s="11">
        <v>1500</v>
      </c>
      <c r="I705" s="11" t="s">
        <v>26</v>
      </c>
      <c r="J705" s="3"/>
      <c r="K705" s="3"/>
      <c r="L705" s="3"/>
      <c r="M705" s="3"/>
      <c r="N705" s="4" t="str">
        <f t="shared" si="25"/>
        <v/>
      </c>
    </row>
    <row r="706" spans="1:14" ht="39" customHeight="1" x14ac:dyDescent="0.25">
      <c r="A706" t="str">
        <f t="shared" si="24"/>
        <v>0652000328915000</v>
      </c>
      <c r="B706" s="3" t="s">
        <v>84</v>
      </c>
      <c r="C706" s="3" t="s">
        <v>1512</v>
      </c>
      <c r="D706" s="3"/>
      <c r="E706" s="3" t="s">
        <v>1522</v>
      </c>
      <c r="F706" s="3" t="s">
        <v>32</v>
      </c>
      <c r="G706" s="3" t="s">
        <v>1523</v>
      </c>
      <c r="H706" s="11">
        <v>1800</v>
      </c>
      <c r="I706" s="11"/>
      <c r="J706" s="3"/>
      <c r="K706" s="3"/>
      <c r="L706" s="3"/>
      <c r="M706" s="3"/>
      <c r="N706" s="4">
        <f t="shared" si="25"/>
        <v>-100</v>
      </c>
    </row>
    <row r="707" spans="1:14" ht="39" customHeight="1" x14ac:dyDescent="0.25">
      <c r="A707" t="str">
        <f t="shared" si="24"/>
        <v>06520003309300</v>
      </c>
      <c r="B707" s="3" t="s">
        <v>84</v>
      </c>
      <c r="C707" s="3" t="s">
        <v>1512</v>
      </c>
      <c r="D707" s="3"/>
      <c r="E707" s="3" t="s">
        <v>1524</v>
      </c>
      <c r="F707" s="3" t="s">
        <v>22</v>
      </c>
      <c r="G707" s="3" t="s">
        <v>1525</v>
      </c>
      <c r="H707" s="11">
        <v>1800</v>
      </c>
      <c r="I707" s="11"/>
      <c r="J707" s="3"/>
      <c r="K707" s="3"/>
      <c r="L707" s="3"/>
      <c r="M707" s="3"/>
      <c r="N707" s="4">
        <f t="shared" si="25"/>
        <v>-100</v>
      </c>
    </row>
    <row r="708" spans="1:14" ht="39" customHeight="1" x14ac:dyDescent="0.25">
      <c r="A708" t="str">
        <f t="shared" si="24"/>
        <v>0652000332418000</v>
      </c>
      <c r="B708" s="3" t="s">
        <v>84</v>
      </c>
      <c r="C708" s="3" t="s">
        <v>1526</v>
      </c>
      <c r="D708" s="3"/>
      <c r="E708" s="3" t="s">
        <v>1527</v>
      </c>
      <c r="F708" s="3" t="s">
        <v>24</v>
      </c>
      <c r="G708" s="3" t="s">
        <v>1528</v>
      </c>
      <c r="H708" s="11">
        <v>9000</v>
      </c>
      <c r="I708" s="11"/>
      <c r="J708" s="3"/>
      <c r="K708" s="3"/>
      <c r="L708" s="3"/>
      <c r="M708" s="3"/>
      <c r="N708" s="4">
        <f t="shared" si="25"/>
        <v>-100</v>
      </c>
    </row>
    <row r="709" spans="1:14" ht="39" customHeight="1" x14ac:dyDescent="0.25">
      <c r="A709" t="str">
        <f t="shared" si="24"/>
        <v>065200033538400</v>
      </c>
      <c r="B709" s="3" t="s">
        <v>84</v>
      </c>
      <c r="C709" s="3" t="s">
        <v>1526</v>
      </c>
      <c r="D709" s="3"/>
      <c r="E709" s="3" t="s">
        <v>1527</v>
      </c>
      <c r="F709" s="3" t="s">
        <v>39</v>
      </c>
      <c r="G709" s="3" t="s">
        <v>1529</v>
      </c>
      <c r="H709" s="11">
        <v>11000</v>
      </c>
      <c r="I709" s="11"/>
      <c r="J709" s="3"/>
      <c r="K709" s="3"/>
      <c r="L709" s="3"/>
      <c r="M709" s="3"/>
      <c r="N709" s="4">
        <f t="shared" si="25"/>
        <v>-100</v>
      </c>
    </row>
    <row r="710" spans="1:14" ht="39" customHeight="1" x14ac:dyDescent="0.25">
      <c r="A710" t="str">
        <f t="shared" si="24"/>
        <v>06520003360800</v>
      </c>
      <c r="B710" s="3" t="s">
        <v>84</v>
      </c>
      <c r="C710" s="3" t="s">
        <v>1526</v>
      </c>
      <c r="D710" s="3"/>
      <c r="E710" s="3" t="s">
        <v>1530</v>
      </c>
      <c r="F710" s="3" t="s">
        <v>18</v>
      </c>
      <c r="G710" s="3" t="s">
        <v>1531</v>
      </c>
      <c r="H710" s="11">
        <v>3500</v>
      </c>
      <c r="I710" s="11"/>
      <c r="J710" s="3"/>
      <c r="K710" s="3"/>
      <c r="L710" s="3"/>
      <c r="M710" s="3"/>
      <c r="N710" s="4">
        <f t="shared" si="25"/>
        <v>-100</v>
      </c>
    </row>
    <row r="711" spans="1:14" ht="39" customHeight="1" x14ac:dyDescent="0.25">
      <c r="A711" t="str">
        <f t="shared" si="24"/>
        <v>06520003448700</v>
      </c>
      <c r="B711" s="3" t="s">
        <v>84</v>
      </c>
      <c r="C711" s="3" t="s">
        <v>1526</v>
      </c>
      <c r="D711" s="3"/>
      <c r="E711" s="3" t="s">
        <v>1532</v>
      </c>
      <c r="F711" s="3" t="s">
        <v>18</v>
      </c>
      <c r="G711" s="3" t="s">
        <v>1533</v>
      </c>
      <c r="H711" s="11">
        <v>2000</v>
      </c>
      <c r="I711" s="11"/>
      <c r="J711" s="3"/>
      <c r="K711" s="3"/>
      <c r="L711" s="3"/>
      <c r="M711" s="3"/>
      <c r="N711" s="4">
        <f t="shared" si="25"/>
        <v>-100</v>
      </c>
    </row>
    <row r="712" spans="1:14" ht="39" customHeight="1" x14ac:dyDescent="0.25">
      <c r="A712" t="str">
        <f t="shared" si="24"/>
        <v>065200034542000</v>
      </c>
      <c r="B712" s="3" t="s">
        <v>84</v>
      </c>
      <c r="C712" s="3" t="s">
        <v>1526</v>
      </c>
      <c r="D712" s="3"/>
      <c r="E712" s="3" t="s">
        <v>1534</v>
      </c>
      <c r="F712" s="3" t="s">
        <v>43</v>
      </c>
      <c r="G712" s="3" t="s">
        <v>1535</v>
      </c>
      <c r="H712" s="11">
        <v>5600</v>
      </c>
      <c r="I712" s="11"/>
      <c r="J712" s="3"/>
      <c r="K712" s="3"/>
      <c r="L712" s="3"/>
      <c r="M712" s="3"/>
      <c r="N712" s="4">
        <f t="shared" si="25"/>
        <v>-100</v>
      </c>
    </row>
    <row r="713" spans="1:14" ht="39" customHeight="1" x14ac:dyDescent="0.25">
      <c r="A713" t="str">
        <f t="shared" si="24"/>
        <v>065200034671500</v>
      </c>
      <c r="B713" s="3" t="s">
        <v>84</v>
      </c>
      <c r="C713" s="3" t="s">
        <v>1526</v>
      </c>
      <c r="D713" s="3"/>
      <c r="E713" s="3" t="s">
        <v>1536</v>
      </c>
      <c r="F713" s="3" t="s">
        <v>25</v>
      </c>
      <c r="G713" s="3" t="s">
        <v>1537</v>
      </c>
      <c r="H713" s="11">
        <v>22000</v>
      </c>
      <c r="I713" s="11"/>
      <c r="J713" s="3"/>
      <c r="K713" s="3"/>
      <c r="L713" s="3"/>
      <c r="M713" s="3"/>
      <c r="N713" s="4">
        <f t="shared" si="25"/>
        <v>-100</v>
      </c>
    </row>
    <row r="714" spans="1:14" ht="39" customHeight="1" x14ac:dyDescent="0.25">
      <c r="A714" t="str">
        <f t="shared" si="24"/>
        <v>0652000347840000</v>
      </c>
      <c r="B714" s="3" t="s">
        <v>84</v>
      </c>
      <c r="C714" s="3" t="s">
        <v>1526</v>
      </c>
      <c r="D714" s="3" t="s">
        <v>1538</v>
      </c>
      <c r="E714" s="3" t="s">
        <v>1539</v>
      </c>
      <c r="F714" s="3" t="s">
        <v>79</v>
      </c>
      <c r="G714" s="3" t="s">
        <v>1540</v>
      </c>
      <c r="H714" s="11">
        <v>16999.55</v>
      </c>
      <c r="I714" s="11"/>
      <c r="J714" s="3"/>
      <c r="K714" s="3"/>
      <c r="L714" s="3"/>
      <c r="M714" s="3"/>
      <c r="N714" s="4">
        <f t="shared" si="25"/>
        <v>-100</v>
      </c>
    </row>
    <row r="715" spans="1:14" ht="39" customHeight="1" x14ac:dyDescent="0.25">
      <c r="A715" t="str">
        <f t="shared" si="24"/>
        <v>0652000350835000</v>
      </c>
      <c r="B715" s="3" t="s">
        <v>84</v>
      </c>
      <c r="C715" s="3" t="s">
        <v>1526</v>
      </c>
      <c r="D715" s="3"/>
      <c r="E715" s="3" t="s">
        <v>1541</v>
      </c>
      <c r="F715" s="3" t="s">
        <v>22</v>
      </c>
      <c r="G715" s="3" t="s">
        <v>1542</v>
      </c>
      <c r="H715" s="11">
        <v>3000</v>
      </c>
      <c r="I715" s="11"/>
      <c r="J715" s="3"/>
      <c r="K715" s="3"/>
      <c r="L715" s="3"/>
      <c r="M715" s="3"/>
      <c r="N715" s="4">
        <f t="shared" si="25"/>
        <v>-100</v>
      </c>
    </row>
    <row r="716" spans="1:14" ht="39" customHeight="1" x14ac:dyDescent="0.25">
      <c r="A716" t="str">
        <f t="shared" si="24"/>
        <v>06520003524500</v>
      </c>
      <c r="B716" s="3" t="s">
        <v>84</v>
      </c>
      <c r="C716" s="3" t="s">
        <v>1526</v>
      </c>
      <c r="D716" s="3"/>
      <c r="E716" s="3" t="s">
        <v>1543</v>
      </c>
      <c r="F716" s="3" t="s">
        <v>22</v>
      </c>
      <c r="G716" s="3" t="s">
        <v>1544</v>
      </c>
      <c r="H716" s="11">
        <v>6300</v>
      </c>
      <c r="I716" s="11"/>
      <c r="J716" s="3"/>
      <c r="K716" s="3"/>
      <c r="L716" s="3"/>
      <c r="M716" s="3"/>
      <c r="N716" s="4">
        <f t="shared" si="25"/>
        <v>-100</v>
      </c>
    </row>
    <row r="717" spans="1:14" ht="39" customHeight="1" x14ac:dyDescent="0.25">
      <c r="A717" t="str">
        <f t="shared" si="24"/>
        <v>065200035471500</v>
      </c>
      <c r="B717" s="3" t="s">
        <v>84</v>
      </c>
      <c r="C717" s="3" t="s">
        <v>1526</v>
      </c>
      <c r="D717" s="3"/>
      <c r="E717" s="3" t="s">
        <v>1545</v>
      </c>
      <c r="F717" s="3" t="s">
        <v>22</v>
      </c>
      <c r="G717" s="3" t="s">
        <v>1546</v>
      </c>
      <c r="H717" s="11">
        <v>2900</v>
      </c>
      <c r="I717" s="11"/>
      <c r="J717" s="3"/>
      <c r="K717" s="3"/>
      <c r="L717" s="3"/>
      <c r="M717" s="3"/>
      <c r="N717" s="4">
        <f t="shared" si="25"/>
        <v>-100</v>
      </c>
    </row>
    <row r="718" spans="1:14" ht="39" customHeight="1" x14ac:dyDescent="0.25">
      <c r="A718" t="str">
        <f t="shared" si="24"/>
        <v>065200036334000</v>
      </c>
      <c r="B718" s="3" t="s">
        <v>84</v>
      </c>
      <c r="C718" s="3" t="s">
        <v>1526</v>
      </c>
      <c r="D718" s="3"/>
      <c r="E718" s="3" t="s">
        <v>1547</v>
      </c>
      <c r="F718" s="3" t="s">
        <v>30</v>
      </c>
      <c r="G718" s="3" t="s">
        <v>1548</v>
      </c>
      <c r="H718" s="11">
        <v>10500</v>
      </c>
      <c r="I718" s="11"/>
      <c r="J718" s="3"/>
      <c r="K718" s="3"/>
      <c r="L718" s="3"/>
      <c r="M718" s="3"/>
      <c r="N718" s="4">
        <f t="shared" si="25"/>
        <v>-100</v>
      </c>
    </row>
    <row r="719" spans="1:14" ht="39" customHeight="1" x14ac:dyDescent="0.25">
      <c r="A719" t="str">
        <f t="shared" si="24"/>
        <v>9369000097052000</v>
      </c>
      <c r="B719" s="3" t="s">
        <v>84</v>
      </c>
      <c r="C719" s="3" t="s">
        <v>1526</v>
      </c>
      <c r="D719" s="3"/>
      <c r="E719" s="3" t="s">
        <v>1549</v>
      </c>
      <c r="F719" s="3" t="s">
        <v>22</v>
      </c>
      <c r="G719" s="3" t="s">
        <v>1550</v>
      </c>
      <c r="H719" s="11">
        <v>21000</v>
      </c>
      <c r="I719" s="11"/>
      <c r="J719" s="3"/>
      <c r="K719" s="3"/>
      <c r="L719" s="3"/>
      <c r="M719" s="3"/>
      <c r="N719" s="4">
        <f t="shared" si="25"/>
        <v>-100</v>
      </c>
    </row>
    <row r="720" spans="1:14" ht="39" customHeight="1" x14ac:dyDescent="0.25">
      <c r="A720" t="str">
        <f t="shared" si="24"/>
        <v>065900018497499,7</v>
      </c>
      <c r="B720" s="3" t="s">
        <v>84</v>
      </c>
      <c r="C720" s="3" t="s">
        <v>1526</v>
      </c>
      <c r="D720" s="3"/>
      <c r="E720" s="3" t="s">
        <v>1551</v>
      </c>
      <c r="F720" s="3" t="s">
        <v>25</v>
      </c>
      <c r="G720" s="3" t="s">
        <v>1552</v>
      </c>
      <c r="H720" s="11">
        <v>20000</v>
      </c>
      <c r="I720" s="11"/>
      <c r="J720" s="3"/>
      <c r="K720" s="3"/>
      <c r="L720" s="3"/>
      <c r="M720" s="3"/>
      <c r="N720" s="4">
        <f t="shared" si="25"/>
        <v>-100</v>
      </c>
    </row>
    <row r="721" spans="1:14" ht="39" customHeight="1" x14ac:dyDescent="0.25">
      <c r="A721" t="str">
        <f t="shared" si="24"/>
        <v>0659000207010900</v>
      </c>
      <c r="B721" s="3" t="s">
        <v>84</v>
      </c>
      <c r="C721" s="3" t="s">
        <v>1526</v>
      </c>
      <c r="D721" s="3"/>
      <c r="E721" s="3" t="s">
        <v>1553</v>
      </c>
      <c r="F721" s="3" t="s">
        <v>59</v>
      </c>
      <c r="G721" s="3" t="s">
        <v>1554</v>
      </c>
      <c r="H721" s="11">
        <v>2000</v>
      </c>
      <c r="I721" s="11"/>
      <c r="J721" s="3"/>
      <c r="K721" s="3"/>
      <c r="L721" s="3"/>
      <c r="M721" s="3"/>
      <c r="N721" s="4">
        <f t="shared" si="25"/>
        <v>-100</v>
      </c>
    </row>
    <row r="722" spans="1:14" ht="39" customHeight="1" x14ac:dyDescent="0.25">
      <c r="A722" t="str">
        <f t="shared" si="24"/>
        <v>065900020963000</v>
      </c>
      <c r="B722" s="3" t="s">
        <v>84</v>
      </c>
      <c r="C722" s="3" t="s">
        <v>1526</v>
      </c>
      <c r="D722" s="3"/>
      <c r="E722" s="3" t="s">
        <v>1553</v>
      </c>
      <c r="F722" s="3" t="s">
        <v>59</v>
      </c>
      <c r="G722" s="3" t="s">
        <v>1554</v>
      </c>
      <c r="H722" s="11">
        <v>2000</v>
      </c>
      <c r="I722" s="11"/>
      <c r="J722" s="3"/>
      <c r="K722" s="3"/>
      <c r="L722" s="3"/>
      <c r="M722" s="3"/>
      <c r="N722" s="4">
        <f t="shared" si="25"/>
        <v>-100</v>
      </c>
    </row>
    <row r="723" spans="1:14" ht="39" customHeight="1" x14ac:dyDescent="0.25">
      <c r="A723" t="str">
        <f t="shared" si="24"/>
        <v>0659000221641300</v>
      </c>
      <c r="B723" s="3" t="s">
        <v>84</v>
      </c>
      <c r="C723" s="3" t="s">
        <v>1526</v>
      </c>
      <c r="D723" s="3"/>
      <c r="E723" s="3" t="s">
        <v>1553</v>
      </c>
      <c r="F723" s="3" t="s">
        <v>59</v>
      </c>
      <c r="G723" s="3" t="s">
        <v>1555</v>
      </c>
      <c r="H723" s="11">
        <v>2000</v>
      </c>
      <c r="I723" s="11"/>
      <c r="J723" s="3"/>
      <c r="K723" s="3"/>
      <c r="L723" s="3"/>
      <c r="M723" s="3"/>
      <c r="N723" s="4">
        <f t="shared" si="25"/>
        <v>-100</v>
      </c>
    </row>
    <row r="724" spans="1:14" ht="39" customHeight="1" x14ac:dyDescent="0.25">
      <c r="A724" t="str">
        <f t="shared" si="24"/>
        <v>065900023882000</v>
      </c>
      <c r="B724" s="3" t="s">
        <v>84</v>
      </c>
      <c r="C724" s="3" t="s">
        <v>1526</v>
      </c>
      <c r="D724" s="3"/>
      <c r="E724" s="3" t="s">
        <v>1556</v>
      </c>
      <c r="F724" s="3" t="s">
        <v>22</v>
      </c>
      <c r="G724" s="3" t="s">
        <v>1557</v>
      </c>
      <c r="H724" s="11">
        <v>2000</v>
      </c>
      <c r="I724" s="11"/>
      <c r="J724" s="3"/>
      <c r="K724" s="3"/>
      <c r="L724" s="3"/>
      <c r="M724" s="3"/>
      <c r="N724" s="4">
        <f t="shared" si="25"/>
        <v>-100</v>
      </c>
    </row>
    <row r="725" spans="1:14" ht="39" customHeight="1" x14ac:dyDescent="0.25">
      <c r="A725" t="str">
        <f t="shared" si="24"/>
        <v>065900023895200</v>
      </c>
      <c r="B725" s="3" t="s">
        <v>84</v>
      </c>
      <c r="C725" s="3" t="s">
        <v>1526</v>
      </c>
      <c r="D725" s="3"/>
      <c r="E725" s="3" t="s">
        <v>1558</v>
      </c>
      <c r="F725" s="3" t="s">
        <v>22</v>
      </c>
      <c r="G725" s="3" t="s">
        <v>1559</v>
      </c>
      <c r="H725" s="11">
        <v>5000</v>
      </c>
      <c r="I725" s="11"/>
      <c r="J725" s="3"/>
      <c r="K725" s="3"/>
      <c r="L725" s="3"/>
      <c r="M725" s="3"/>
      <c r="N725" s="4">
        <f t="shared" si="25"/>
        <v>-100</v>
      </c>
    </row>
    <row r="726" spans="1:14" ht="39" customHeight="1" x14ac:dyDescent="0.25">
      <c r="A726" t="str">
        <f t="shared" si="24"/>
        <v>065900023902000</v>
      </c>
      <c r="B726" s="3" t="s">
        <v>84</v>
      </c>
      <c r="C726" s="3" t="s">
        <v>1526</v>
      </c>
      <c r="D726" s="3"/>
      <c r="E726" s="3" t="s">
        <v>1560</v>
      </c>
      <c r="F726" s="3" t="s">
        <v>25</v>
      </c>
      <c r="G726" s="3" t="s">
        <v>1561</v>
      </c>
      <c r="H726" s="11">
        <v>12000</v>
      </c>
      <c r="I726" s="11"/>
      <c r="J726" s="3"/>
      <c r="K726" s="3"/>
      <c r="L726" s="3"/>
      <c r="M726" s="3"/>
      <c r="N726" s="4">
        <f t="shared" si="25"/>
        <v>-100</v>
      </c>
    </row>
    <row r="727" spans="1:14" ht="39" customHeight="1" x14ac:dyDescent="0.25">
      <c r="A727" t="str">
        <f t="shared" si="24"/>
        <v>065900023964000</v>
      </c>
      <c r="B727" s="3" t="s">
        <v>84</v>
      </c>
      <c r="C727" s="3" t="s">
        <v>1526</v>
      </c>
      <c r="D727" s="3"/>
      <c r="E727" s="3" t="s">
        <v>1562</v>
      </c>
      <c r="F727" s="3" t="s">
        <v>18</v>
      </c>
      <c r="G727" s="3" t="s">
        <v>1563</v>
      </c>
      <c r="H727" s="11">
        <v>2500</v>
      </c>
      <c r="I727" s="11"/>
      <c r="J727" s="3"/>
      <c r="K727" s="3"/>
      <c r="L727" s="3"/>
      <c r="M727" s="3"/>
      <c r="N727" s="4">
        <f t="shared" si="25"/>
        <v>-100</v>
      </c>
    </row>
    <row r="728" spans="1:14" ht="39" customHeight="1" x14ac:dyDescent="0.25">
      <c r="A728" t="str">
        <f t="shared" si="24"/>
        <v>065900024091200</v>
      </c>
      <c r="B728" s="3" t="s">
        <v>84</v>
      </c>
      <c r="C728" s="3" t="s">
        <v>1526</v>
      </c>
      <c r="D728" s="3"/>
      <c r="E728" s="3" t="s">
        <v>1564</v>
      </c>
      <c r="F728" s="3" t="s">
        <v>22</v>
      </c>
      <c r="G728" s="3" t="s">
        <v>1565</v>
      </c>
      <c r="H728" s="11">
        <v>3500</v>
      </c>
      <c r="I728" s="11"/>
      <c r="J728" s="3"/>
      <c r="K728" s="3"/>
      <c r="L728" s="3"/>
      <c r="M728" s="3"/>
      <c r="N728" s="4">
        <f t="shared" si="25"/>
        <v>-100</v>
      </c>
    </row>
    <row r="729" spans="1:14" ht="39" customHeight="1" x14ac:dyDescent="0.25">
      <c r="A729" t="str">
        <f t="shared" si="24"/>
        <v>06590002410200</v>
      </c>
      <c r="B729" s="3" t="s">
        <v>84</v>
      </c>
      <c r="C729" s="3" t="s">
        <v>1526</v>
      </c>
      <c r="D729" s="3"/>
      <c r="E729" s="3" t="s">
        <v>1564</v>
      </c>
      <c r="F729" s="3" t="s">
        <v>22</v>
      </c>
      <c r="G729" s="3" t="s">
        <v>1566</v>
      </c>
      <c r="H729" s="11">
        <v>3200</v>
      </c>
      <c r="I729" s="11"/>
      <c r="J729" s="3"/>
      <c r="K729" s="3"/>
      <c r="L729" s="3"/>
      <c r="M729" s="3"/>
      <c r="N729" s="4">
        <f t="shared" si="25"/>
        <v>-100</v>
      </c>
    </row>
    <row r="730" spans="1:14" ht="39" customHeight="1" x14ac:dyDescent="0.25">
      <c r="A730" t="str">
        <f t="shared" si="24"/>
        <v>06590002411300</v>
      </c>
      <c r="B730" s="3" t="s">
        <v>84</v>
      </c>
      <c r="C730" s="3" t="s">
        <v>1526</v>
      </c>
      <c r="D730" s="3"/>
      <c r="E730" s="3" t="s">
        <v>1567</v>
      </c>
      <c r="F730" s="3" t="s">
        <v>22</v>
      </c>
      <c r="G730" s="3" t="s">
        <v>1568</v>
      </c>
      <c r="H730" s="11">
        <v>1000</v>
      </c>
      <c r="I730" s="11"/>
      <c r="J730" s="3"/>
      <c r="K730" s="3"/>
      <c r="L730" s="3"/>
      <c r="M730" s="3"/>
      <c r="N730" s="4">
        <f t="shared" si="25"/>
        <v>-100</v>
      </c>
    </row>
    <row r="731" spans="1:14" ht="39" customHeight="1" x14ac:dyDescent="0.25">
      <c r="A731" t="str">
        <f t="shared" si="24"/>
        <v>0659000243212100</v>
      </c>
      <c r="B731" s="3" t="s">
        <v>84</v>
      </c>
      <c r="C731" s="3" t="s">
        <v>1569</v>
      </c>
      <c r="D731" s="3"/>
      <c r="E731" s="3" t="s">
        <v>1570</v>
      </c>
      <c r="F731" s="3" t="s">
        <v>23</v>
      </c>
      <c r="G731" s="3" t="s">
        <v>1571</v>
      </c>
      <c r="H731" s="11">
        <v>10000</v>
      </c>
      <c r="I731" s="11"/>
      <c r="J731" s="3"/>
      <c r="K731" s="3"/>
      <c r="L731" s="3"/>
      <c r="M731" s="3"/>
      <c r="N731" s="4">
        <f t="shared" si="25"/>
        <v>-100</v>
      </c>
    </row>
    <row r="732" spans="1:14" ht="39" customHeight="1" x14ac:dyDescent="0.25">
      <c r="A732" t="str">
        <f t="shared" si="24"/>
        <v>06590002452700</v>
      </c>
      <c r="B732" s="3" t="s">
        <v>84</v>
      </c>
      <c r="C732" s="3" t="s">
        <v>1569</v>
      </c>
      <c r="D732" s="3"/>
      <c r="E732" s="3" t="s">
        <v>1572</v>
      </c>
      <c r="F732" s="3" t="s">
        <v>36</v>
      </c>
      <c r="G732" s="3" t="s">
        <v>1573</v>
      </c>
      <c r="H732" s="11">
        <v>8500</v>
      </c>
      <c r="I732" s="11"/>
      <c r="J732" s="3"/>
      <c r="K732" s="3"/>
      <c r="L732" s="3"/>
      <c r="M732" s="3"/>
      <c r="N732" s="4">
        <f t="shared" si="25"/>
        <v>-100</v>
      </c>
    </row>
    <row r="733" spans="1:14" ht="39" customHeight="1" x14ac:dyDescent="0.25">
      <c r="A733" t="str">
        <f t="shared" si="24"/>
        <v>065900024562700</v>
      </c>
      <c r="B733" s="3" t="s">
        <v>84</v>
      </c>
      <c r="C733" s="3" t="s">
        <v>1569</v>
      </c>
      <c r="D733" s="3"/>
      <c r="E733" s="3" t="s">
        <v>1574</v>
      </c>
      <c r="F733" s="3" t="s">
        <v>22</v>
      </c>
      <c r="G733" s="3" t="s">
        <v>1575</v>
      </c>
      <c r="H733" s="11">
        <v>5500</v>
      </c>
      <c r="I733" s="11"/>
      <c r="J733" s="3"/>
      <c r="K733" s="3"/>
      <c r="L733" s="3"/>
      <c r="M733" s="3"/>
      <c r="N733" s="4">
        <f t="shared" si="25"/>
        <v>-100</v>
      </c>
    </row>
    <row r="734" spans="1:14" ht="39" customHeight="1" x14ac:dyDescent="0.25">
      <c r="A734" t="str">
        <f t="shared" si="24"/>
        <v>06590002576400</v>
      </c>
      <c r="B734" s="3" t="s">
        <v>84</v>
      </c>
      <c r="C734" s="3" t="s">
        <v>1569</v>
      </c>
      <c r="D734" s="3"/>
      <c r="E734" s="3" t="s">
        <v>1576</v>
      </c>
      <c r="F734" s="3" t="s">
        <v>22</v>
      </c>
      <c r="G734" s="3" t="s">
        <v>1577</v>
      </c>
      <c r="H734" s="11">
        <v>3500</v>
      </c>
      <c r="I734" s="11"/>
      <c r="J734" s="3"/>
      <c r="K734" s="3"/>
      <c r="L734" s="3"/>
      <c r="M734" s="3"/>
      <c r="N734" s="4">
        <f t="shared" si="25"/>
        <v>-100</v>
      </c>
    </row>
    <row r="735" spans="1:14" ht="39" customHeight="1" x14ac:dyDescent="0.25">
      <c r="A735" t="str">
        <f t="shared" ref="A735:A798" si="26">E697&amp;H697</f>
        <v>065900025761000</v>
      </c>
      <c r="B735" s="3" t="s">
        <v>84</v>
      </c>
      <c r="C735" s="3" t="s">
        <v>1569</v>
      </c>
      <c r="D735" s="3"/>
      <c r="E735" s="3" t="s">
        <v>1578</v>
      </c>
      <c r="F735" s="3" t="s">
        <v>55</v>
      </c>
      <c r="G735" s="3" t="s">
        <v>1579</v>
      </c>
      <c r="H735" s="11">
        <v>500</v>
      </c>
      <c r="I735" s="11"/>
      <c r="J735" s="3"/>
      <c r="K735" s="3"/>
      <c r="L735" s="3"/>
      <c r="M735" s="3"/>
      <c r="N735" s="4">
        <f t="shared" si="25"/>
        <v>-100</v>
      </c>
    </row>
    <row r="736" spans="1:14" ht="39" customHeight="1" x14ac:dyDescent="0.25">
      <c r="A736" t="str">
        <f t="shared" si="26"/>
        <v>065900026073200</v>
      </c>
      <c r="B736" s="3" t="s">
        <v>84</v>
      </c>
      <c r="C736" s="3" t="s">
        <v>1569</v>
      </c>
      <c r="D736" s="3"/>
      <c r="E736" s="3" t="s">
        <v>1580</v>
      </c>
      <c r="F736" s="3" t="s">
        <v>25</v>
      </c>
      <c r="G736" s="3" t="s">
        <v>1581</v>
      </c>
      <c r="H736" s="11">
        <v>18500</v>
      </c>
      <c r="I736" s="11"/>
      <c r="J736" s="3"/>
      <c r="K736" s="3"/>
      <c r="L736" s="3"/>
      <c r="M736" s="3"/>
      <c r="N736" s="4">
        <f t="shared" si="25"/>
        <v>-100</v>
      </c>
    </row>
    <row r="737" spans="1:14" ht="39" customHeight="1" x14ac:dyDescent="0.25">
      <c r="A737" t="str">
        <f t="shared" si="26"/>
        <v>06590002615500</v>
      </c>
      <c r="B737" s="3" t="s">
        <v>84</v>
      </c>
      <c r="C737" s="3" t="s">
        <v>1569</v>
      </c>
      <c r="D737" s="3"/>
      <c r="E737" s="3" t="s">
        <v>1582</v>
      </c>
      <c r="F737" s="3" t="s">
        <v>22</v>
      </c>
      <c r="G737" s="3" t="s">
        <v>1583</v>
      </c>
      <c r="H737" s="11">
        <v>34600</v>
      </c>
      <c r="I737" s="11"/>
      <c r="J737" s="3"/>
      <c r="K737" s="3"/>
      <c r="L737" s="3"/>
      <c r="M737" s="3"/>
      <c r="N737" s="4">
        <f t="shared" si="25"/>
        <v>-100</v>
      </c>
    </row>
    <row r="738" spans="1:14" ht="39" customHeight="1" x14ac:dyDescent="0.25">
      <c r="A738" t="str">
        <f t="shared" si="26"/>
        <v>0659000262910400</v>
      </c>
      <c r="B738" s="3" t="s">
        <v>84</v>
      </c>
      <c r="C738" s="3" t="s">
        <v>1569</v>
      </c>
      <c r="D738" s="3"/>
      <c r="E738" s="3" t="s">
        <v>1584</v>
      </c>
      <c r="F738" s="3" t="s">
        <v>51</v>
      </c>
      <c r="G738" s="3" t="s">
        <v>1585</v>
      </c>
      <c r="H738" s="11">
        <v>9500</v>
      </c>
      <c r="I738" s="11"/>
      <c r="J738" s="3"/>
      <c r="K738" s="3"/>
      <c r="L738" s="3"/>
      <c r="M738" s="3"/>
      <c r="N738" s="4">
        <f t="shared" si="25"/>
        <v>-100</v>
      </c>
    </row>
    <row r="739" spans="1:14" ht="39" customHeight="1" x14ac:dyDescent="0.25">
      <c r="A739" t="str">
        <f t="shared" si="26"/>
        <v>066100006813600</v>
      </c>
      <c r="B739" s="3" t="s">
        <v>84</v>
      </c>
      <c r="C739" s="3" t="s">
        <v>1569</v>
      </c>
      <c r="D739" s="3"/>
      <c r="E739" s="3" t="s">
        <v>1586</v>
      </c>
      <c r="F739" s="3" t="s">
        <v>21</v>
      </c>
      <c r="G739" s="3" t="s">
        <v>1587</v>
      </c>
      <c r="H739" s="11">
        <v>8000</v>
      </c>
      <c r="I739" s="11"/>
      <c r="J739" s="3"/>
      <c r="K739" s="3"/>
      <c r="L739" s="3"/>
      <c r="M739" s="3"/>
      <c r="N739" s="4">
        <f t="shared" si="25"/>
        <v>-100</v>
      </c>
    </row>
    <row r="740" spans="1:14" ht="39" customHeight="1" x14ac:dyDescent="0.25">
      <c r="A740" t="str">
        <f t="shared" si="26"/>
        <v>06610000796400</v>
      </c>
      <c r="B740" s="3" t="s">
        <v>84</v>
      </c>
      <c r="C740" s="3" t="s">
        <v>1588</v>
      </c>
      <c r="D740" s="3"/>
      <c r="E740" s="3" t="s">
        <v>1589</v>
      </c>
      <c r="F740" s="3" t="s">
        <v>23</v>
      </c>
      <c r="G740" s="3" t="s">
        <v>1590</v>
      </c>
      <c r="H740" s="11">
        <v>3000</v>
      </c>
      <c r="I740" s="11"/>
      <c r="J740" s="3"/>
      <c r="K740" s="3"/>
      <c r="L740" s="3"/>
      <c r="M740" s="3"/>
      <c r="N740" s="4">
        <f t="shared" si="25"/>
        <v>-100</v>
      </c>
    </row>
    <row r="741" spans="1:14" ht="39" customHeight="1" x14ac:dyDescent="0.25">
      <c r="A741" t="str">
        <f t="shared" si="26"/>
        <v>06610000796300</v>
      </c>
      <c r="B741" s="3" t="s">
        <v>84</v>
      </c>
      <c r="C741" s="3" t="s">
        <v>1588</v>
      </c>
      <c r="D741" s="3"/>
      <c r="E741" s="3" t="s">
        <v>1591</v>
      </c>
      <c r="F741" s="3" t="s">
        <v>23</v>
      </c>
      <c r="G741" s="3" t="s">
        <v>1592</v>
      </c>
      <c r="H741" s="11">
        <v>2600</v>
      </c>
      <c r="I741" s="11"/>
      <c r="J741" s="3"/>
      <c r="K741" s="3"/>
      <c r="L741" s="3"/>
      <c r="M741" s="3"/>
      <c r="N741" s="4">
        <f t="shared" si="25"/>
        <v>-100</v>
      </c>
    </row>
    <row r="742" spans="1:14" ht="39" customHeight="1" x14ac:dyDescent="0.25">
      <c r="A742" t="str">
        <f t="shared" si="26"/>
        <v>066100009501400</v>
      </c>
      <c r="B742" s="3" t="s">
        <v>84</v>
      </c>
      <c r="C742" s="3" t="s">
        <v>1593</v>
      </c>
      <c r="D742" s="3"/>
      <c r="E742" s="3" t="s">
        <v>1594</v>
      </c>
      <c r="F742" s="3" t="s">
        <v>24</v>
      </c>
      <c r="G742" s="3" t="s">
        <v>1595</v>
      </c>
      <c r="H742" s="11">
        <v>27000</v>
      </c>
      <c r="I742" s="11"/>
      <c r="J742" s="3"/>
      <c r="K742" s="3"/>
      <c r="L742" s="3"/>
      <c r="M742" s="3"/>
      <c r="N742" s="4">
        <f t="shared" si="25"/>
        <v>-100</v>
      </c>
    </row>
    <row r="743" spans="1:14" ht="39" customHeight="1" x14ac:dyDescent="0.25">
      <c r="A743" t="str">
        <f t="shared" si="26"/>
        <v>066100010011500</v>
      </c>
      <c r="B743" s="3" t="s">
        <v>84</v>
      </c>
      <c r="C743" s="3" t="s">
        <v>1593</v>
      </c>
      <c r="D743" s="3"/>
      <c r="E743" s="3" t="s">
        <v>1596</v>
      </c>
      <c r="F743" s="3" t="s">
        <v>36</v>
      </c>
      <c r="G743" s="3" t="s">
        <v>1597</v>
      </c>
      <c r="H743" s="11">
        <v>5000</v>
      </c>
      <c r="I743" s="11"/>
      <c r="J743" s="3"/>
      <c r="K743" s="3"/>
      <c r="L743" s="3"/>
      <c r="M743" s="3"/>
      <c r="N743" s="4">
        <f t="shared" si="25"/>
        <v>-100</v>
      </c>
    </row>
    <row r="744" spans="1:14" ht="39" customHeight="1" x14ac:dyDescent="0.25">
      <c r="A744" t="str">
        <f t="shared" si="26"/>
        <v>066100011081800</v>
      </c>
      <c r="B744" s="3" t="s">
        <v>84</v>
      </c>
      <c r="C744" s="3" t="s">
        <v>1593</v>
      </c>
      <c r="D744" s="3"/>
      <c r="E744" s="3" t="s">
        <v>1598</v>
      </c>
      <c r="F744" s="3" t="s">
        <v>54</v>
      </c>
      <c r="G744" s="3" t="s">
        <v>1599</v>
      </c>
      <c r="H744" s="11">
        <v>7000</v>
      </c>
      <c r="I744" s="11"/>
      <c r="J744" s="3"/>
      <c r="K744" s="3"/>
      <c r="L744" s="3"/>
      <c r="M744" s="3"/>
      <c r="N744" s="4">
        <f t="shared" si="25"/>
        <v>-100</v>
      </c>
    </row>
    <row r="745" spans="1:14" ht="39" customHeight="1" x14ac:dyDescent="0.25">
      <c r="A745" t="str">
        <f t="shared" si="26"/>
        <v>066100011331800</v>
      </c>
      <c r="B745" s="3" t="s">
        <v>84</v>
      </c>
      <c r="C745" s="3" t="s">
        <v>1593</v>
      </c>
      <c r="D745" s="3"/>
      <c r="E745" s="3" t="s">
        <v>1600</v>
      </c>
      <c r="F745" s="3" t="s">
        <v>1601</v>
      </c>
      <c r="G745" s="3" t="s">
        <v>1602</v>
      </c>
      <c r="H745" s="11">
        <v>800</v>
      </c>
      <c r="I745" s="11"/>
      <c r="J745" s="3"/>
      <c r="K745" s="3"/>
      <c r="L745" s="3"/>
      <c r="M745" s="3"/>
      <c r="N745" s="4">
        <f t="shared" si="25"/>
        <v>-100</v>
      </c>
    </row>
    <row r="746" spans="1:14" ht="39" customHeight="1" x14ac:dyDescent="0.25">
      <c r="A746" t="str">
        <f t="shared" si="26"/>
        <v>066800007849000</v>
      </c>
      <c r="B746" s="3" t="s">
        <v>84</v>
      </c>
      <c r="C746" s="3" t="s">
        <v>1593</v>
      </c>
      <c r="D746" s="3"/>
      <c r="E746" s="3" t="s">
        <v>1603</v>
      </c>
      <c r="F746" s="3" t="s">
        <v>16</v>
      </c>
      <c r="G746" s="3" t="s">
        <v>1604</v>
      </c>
      <c r="H746" s="11">
        <v>24000</v>
      </c>
      <c r="I746" s="11"/>
      <c r="J746" s="3"/>
      <c r="K746" s="3"/>
      <c r="L746" s="3"/>
      <c r="M746" s="3"/>
      <c r="N746" s="4">
        <f t="shared" si="25"/>
        <v>-100</v>
      </c>
    </row>
    <row r="747" spans="1:14" ht="39" customHeight="1" x14ac:dyDescent="0.25">
      <c r="A747" t="str">
        <f t="shared" si="26"/>
        <v>0668000078411000</v>
      </c>
      <c r="B747" s="3" t="s">
        <v>84</v>
      </c>
      <c r="C747" s="3" t="s">
        <v>1593</v>
      </c>
      <c r="D747" s="3"/>
      <c r="E747" s="3" t="s">
        <v>1605</v>
      </c>
      <c r="F747" s="3" t="s">
        <v>18</v>
      </c>
      <c r="G747" s="3" t="s">
        <v>1606</v>
      </c>
      <c r="H747" s="11">
        <v>4000</v>
      </c>
      <c r="I747" s="11"/>
      <c r="J747" s="3"/>
      <c r="K747" s="3"/>
      <c r="L747" s="3"/>
      <c r="M747" s="3"/>
      <c r="N747" s="4">
        <f t="shared" si="25"/>
        <v>-100</v>
      </c>
    </row>
    <row r="748" spans="1:14" ht="39" customHeight="1" x14ac:dyDescent="0.25">
      <c r="A748" t="str">
        <f t="shared" si="26"/>
        <v>066800009393500</v>
      </c>
      <c r="B748" s="3" t="s">
        <v>84</v>
      </c>
      <c r="C748" s="3" t="s">
        <v>1593</v>
      </c>
      <c r="D748" s="3"/>
      <c r="E748" s="3" t="s">
        <v>1607</v>
      </c>
      <c r="F748" s="3" t="s">
        <v>22</v>
      </c>
      <c r="G748" s="3" t="s">
        <v>1608</v>
      </c>
      <c r="H748" s="11">
        <v>2600</v>
      </c>
      <c r="I748" s="11"/>
      <c r="J748" s="3"/>
      <c r="K748" s="3"/>
      <c r="L748" s="3"/>
      <c r="M748" s="3"/>
      <c r="N748" s="4">
        <f t="shared" si="25"/>
        <v>-100</v>
      </c>
    </row>
    <row r="749" spans="1:14" ht="39" customHeight="1" x14ac:dyDescent="0.25">
      <c r="A749" t="str">
        <f t="shared" si="26"/>
        <v>066800011062000</v>
      </c>
      <c r="B749" s="3" t="s">
        <v>84</v>
      </c>
      <c r="C749" s="3" t="s">
        <v>1593</v>
      </c>
      <c r="D749" s="3"/>
      <c r="E749" s="3" t="s">
        <v>1609</v>
      </c>
      <c r="F749" s="3" t="s">
        <v>30</v>
      </c>
      <c r="G749" s="3" t="s">
        <v>1610</v>
      </c>
      <c r="H749" s="11">
        <v>2500</v>
      </c>
      <c r="I749" s="11"/>
      <c r="J749" s="3"/>
      <c r="K749" s="3"/>
      <c r="L749" s="3"/>
      <c r="M749" s="3"/>
      <c r="N749" s="4">
        <f t="shared" si="25"/>
        <v>-100</v>
      </c>
    </row>
    <row r="750" spans="1:14" ht="39" customHeight="1" x14ac:dyDescent="0.25">
      <c r="A750" t="str">
        <f t="shared" si="26"/>
        <v>066800011675600</v>
      </c>
      <c r="B750" s="3" t="s">
        <v>84</v>
      </c>
      <c r="C750" s="3" t="s">
        <v>1593</v>
      </c>
      <c r="D750" s="3"/>
      <c r="E750" s="3" t="s">
        <v>1611</v>
      </c>
      <c r="F750" s="3" t="s">
        <v>25</v>
      </c>
      <c r="G750" s="3" t="s">
        <v>1612</v>
      </c>
      <c r="H750" s="11">
        <v>2000</v>
      </c>
      <c r="I750" s="11" t="s">
        <v>26</v>
      </c>
      <c r="J750" s="3"/>
      <c r="K750" s="3"/>
      <c r="L750" s="3"/>
      <c r="M750" s="3"/>
      <c r="N750" s="4" t="str">
        <f t="shared" si="25"/>
        <v/>
      </c>
    </row>
    <row r="751" spans="1:14" ht="39" customHeight="1" x14ac:dyDescent="0.25">
      <c r="A751" t="str">
        <f t="shared" si="26"/>
        <v>0668000127922000</v>
      </c>
      <c r="B751" s="3" t="s">
        <v>84</v>
      </c>
      <c r="C751" s="3" t="s">
        <v>1593</v>
      </c>
      <c r="D751" s="3"/>
      <c r="E751" s="3" t="s">
        <v>1613</v>
      </c>
      <c r="F751" s="3" t="s">
        <v>49</v>
      </c>
      <c r="G751" s="3" t="s">
        <v>1614</v>
      </c>
      <c r="H751" s="11">
        <v>4000</v>
      </c>
      <c r="I751" s="11"/>
      <c r="J751" s="3"/>
      <c r="K751" s="3"/>
      <c r="L751" s="3"/>
      <c r="M751" s="3"/>
      <c r="N751" s="4">
        <f t="shared" si="25"/>
        <v>-100</v>
      </c>
    </row>
    <row r="752" spans="1:14" ht="39" customHeight="1" x14ac:dyDescent="0.25">
      <c r="A752" t="str">
        <f t="shared" si="26"/>
        <v>0668000143316999,55</v>
      </c>
      <c r="B752" s="3" t="s">
        <v>84</v>
      </c>
      <c r="C752" s="3" t="s">
        <v>1593</v>
      </c>
      <c r="D752" s="3"/>
      <c r="E752" s="3" t="s">
        <v>1615</v>
      </c>
      <c r="F752" s="3" t="s">
        <v>59</v>
      </c>
      <c r="G752" s="3" t="s">
        <v>1616</v>
      </c>
      <c r="H752" s="11">
        <v>2800</v>
      </c>
      <c r="I752" s="11"/>
      <c r="J752" s="3"/>
      <c r="K752" s="3"/>
      <c r="L752" s="3"/>
      <c r="M752" s="3"/>
      <c r="N752" s="4">
        <f t="shared" si="25"/>
        <v>-100</v>
      </c>
    </row>
    <row r="753" spans="1:14" ht="39" customHeight="1" x14ac:dyDescent="0.25">
      <c r="A753" t="str">
        <f t="shared" si="26"/>
        <v>066800015723000</v>
      </c>
      <c r="B753" s="3" t="s">
        <v>84</v>
      </c>
      <c r="C753" s="3" t="s">
        <v>1617</v>
      </c>
      <c r="D753" s="3"/>
      <c r="E753" s="3" t="s">
        <v>1618</v>
      </c>
      <c r="F753" s="3" t="s">
        <v>19</v>
      </c>
      <c r="G753" s="3" t="s">
        <v>1619</v>
      </c>
      <c r="H753" s="11">
        <v>2000</v>
      </c>
      <c r="I753" s="11"/>
      <c r="J753" s="3"/>
      <c r="K753" s="3"/>
      <c r="L753" s="3"/>
      <c r="M753" s="3"/>
      <c r="N753" s="4">
        <f t="shared" si="25"/>
        <v>-100</v>
      </c>
    </row>
    <row r="754" spans="1:14" ht="39" customHeight="1" x14ac:dyDescent="0.25">
      <c r="A754" t="str">
        <f t="shared" si="26"/>
        <v>066800015746300</v>
      </c>
      <c r="B754" s="3" t="s">
        <v>84</v>
      </c>
      <c r="C754" s="3" t="s">
        <v>1617</v>
      </c>
      <c r="D754" s="3"/>
      <c r="E754" s="3" t="s">
        <v>1620</v>
      </c>
      <c r="F754" s="3" t="s">
        <v>24</v>
      </c>
      <c r="G754" s="3" t="s">
        <v>1621</v>
      </c>
      <c r="H754" s="11">
        <v>18000</v>
      </c>
      <c r="I754" s="11"/>
      <c r="J754" s="3"/>
      <c r="K754" s="3"/>
      <c r="L754" s="3"/>
      <c r="M754" s="3"/>
      <c r="N754" s="4">
        <f t="shared" si="25"/>
        <v>-100</v>
      </c>
    </row>
    <row r="755" spans="1:14" ht="39" customHeight="1" x14ac:dyDescent="0.25">
      <c r="A755" t="str">
        <f t="shared" si="26"/>
        <v>066800016162900</v>
      </c>
      <c r="B755" s="3" t="s">
        <v>84</v>
      </c>
      <c r="C755" s="3" t="s">
        <v>1617</v>
      </c>
      <c r="D755" s="3"/>
      <c r="E755" s="3" t="s">
        <v>1622</v>
      </c>
      <c r="F755" s="3" t="s">
        <v>39</v>
      </c>
      <c r="G755" s="3" t="s">
        <v>1623</v>
      </c>
      <c r="H755" s="11">
        <v>5600</v>
      </c>
      <c r="I755" s="11"/>
      <c r="J755" s="3"/>
      <c r="K755" s="3"/>
      <c r="L755" s="3"/>
      <c r="M755" s="3"/>
      <c r="N755" s="4">
        <f t="shared" si="25"/>
        <v>-100</v>
      </c>
    </row>
    <row r="756" spans="1:14" ht="39" customHeight="1" x14ac:dyDescent="0.25">
      <c r="A756" t="str">
        <f t="shared" si="26"/>
        <v>0668000162110500</v>
      </c>
      <c r="B756" s="3" t="s">
        <v>84</v>
      </c>
      <c r="C756" s="3" t="s">
        <v>1624</v>
      </c>
      <c r="D756" s="3"/>
      <c r="E756" s="3" t="s">
        <v>1625</v>
      </c>
      <c r="F756" s="3" t="s">
        <v>79</v>
      </c>
      <c r="G756" s="3" t="s">
        <v>1626</v>
      </c>
      <c r="H756" s="11">
        <v>30000</v>
      </c>
      <c r="I756" s="11"/>
      <c r="J756" s="3"/>
      <c r="K756" s="3"/>
      <c r="L756" s="3"/>
      <c r="M756" s="3"/>
      <c r="N756" s="4">
        <f t="shared" si="25"/>
        <v>-100</v>
      </c>
    </row>
    <row r="757" spans="1:14" ht="39" customHeight="1" x14ac:dyDescent="0.25">
      <c r="A757" t="str">
        <f t="shared" si="26"/>
        <v>0668000166321000</v>
      </c>
      <c r="N757" s="2" t="str">
        <f t="shared" si="25"/>
        <v/>
      </c>
    </row>
    <row r="758" spans="1:14" ht="39" customHeight="1" x14ac:dyDescent="0.25">
      <c r="A758" t="str">
        <f t="shared" si="26"/>
        <v>0668000167020000</v>
      </c>
      <c r="N758" s="2" t="str">
        <f t="shared" si="25"/>
        <v/>
      </c>
    </row>
    <row r="759" spans="1:14" ht="39" customHeight="1" x14ac:dyDescent="0.25">
      <c r="A759" t="str">
        <f t="shared" si="26"/>
        <v>066800018022000</v>
      </c>
      <c r="N759" s="2" t="str">
        <f t="shared" si="25"/>
        <v/>
      </c>
    </row>
    <row r="760" spans="1:14" ht="39" customHeight="1" x14ac:dyDescent="0.25">
      <c r="A760" t="str">
        <f t="shared" si="26"/>
        <v>066800018022000</v>
      </c>
      <c r="N760" s="2" t="str">
        <f t="shared" si="25"/>
        <v/>
      </c>
    </row>
    <row r="761" spans="1:14" ht="39" customHeight="1" x14ac:dyDescent="0.25">
      <c r="A761" t="str">
        <f t="shared" si="26"/>
        <v>066800018022000</v>
      </c>
      <c r="N761" s="2" t="str">
        <f t="shared" ref="N761:N824" si="27">IFERROR(((I761*100)/H761)-100,"")</f>
        <v/>
      </c>
    </row>
    <row r="762" spans="1:14" ht="39" customHeight="1" x14ac:dyDescent="0.25">
      <c r="A762" t="str">
        <f t="shared" si="26"/>
        <v>066800018082000</v>
      </c>
      <c r="N762" s="2" t="str">
        <f t="shared" si="27"/>
        <v/>
      </c>
    </row>
    <row r="763" spans="1:14" ht="39" customHeight="1" x14ac:dyDescent="0.25">
      <c r="A763" t="str">
        <f t="shared" si="26"/>
        <v>066800018445000</v>
      </c>
      <c r="N763" s="2" t="str">
        <f t="shared" si="27"/>
        <v/>
      </c>
    </row>
    <row r="764" spans="1:14" ht="39" customHeight="1" x14ac:dyDescent="0.25">
      <c r="A764" t="str">
        <f t="shared" si="26"/>
        <v>0668000185012000</v>
      </c>
      <c r="N764" s="2" t="str">
        <f t="shared" si="27"/>
        <v/>
      </c>
    </row>
    <row r="765" spans="1:14" ht="39" customHeight="1" x14ac:dyDescent="0.25">
      <c r="A765" t="str">
        <f t="shared" si="26"/>
        <v>066800018512500</v>
      </c>
      <c r="N765" s="2" t="str">
        <f t="shared" si="27"/>
        <v/>
      </c>
    </row>
    <row r="766" spans="1:14" ht="39" customHeight="1" x14ac:dyDescent="0.25">
      <c r="A766" t="str">
        <f t="shared" si="26"/>
        <v>066800018683500</v>
      </c>
      <c r="N766" s="2" t="str">
        <f t="shared" si="27"/>
        <v/>
      </c>
    </row>
    <row r="767" spans="1:14" ht="39" customHeight="1" x14ac:dyDescent="0.25">
      <c r="A767" t="str">
        <f t="shared" si="26"/>
        <v>066800018683200</v>
      </c>
      <c r="N767" s="2" t="str">
        <f t="shared" si="27"/>
        <v/>
      </c>
    </row>
    <row r="768" spans="1:14" ht="39" customHeight="1" x14ac:dyDescent="0.25">
      <c r="A768" t="str">
        <f t="shared" si="26"/>
        <v>066800018941000</v>
      </c>
      <c r="N768" s="2" t="str">
        <f t="shared" si="27"/>
        <v/>
      </c>
    </row>
    <row r="769" spans="1:14" ht="39" customHeight="1" x14ac:dyDescent="0.25">
      <c r="A769" t="str">
        <f t="shared" si="26"/>
        <v>0678000077310000</v>
      </c>
      <c r="N769" s="2" t="str">
        <f t="shared" si="27"/>
        <v/>
      </c>
    </row>
    <row r="770" spans="1:14" ht="39" customHeight="1" x14ac:dyDescent="0.25">
      <c r="A770" t="str">
        <f t="shared" si="26"/>
        <v>067800015038500</v>
      </c>
      <c r="N770" s="2" t="str">
        <f t="shared" si="27"/>
        <v/>
      </c>
    </row>
    <row r="771" spans="1:14" ht="39" customHeight="1" x14ac:dyDescent="0.25">
      <c r="A771" t="str">
        <f t="shared" si="26"/>
        <v>067800016615500</v>
      </c>
      <c r="N771" s="2" t="str">
        <f t="shared" si="27"/>
        <v/>
      </c>
    </row>
    <row r="772" spans="1:14" ht="39" customHeight="1" x14ac:dyDescent="0.25">
      <c r="A772" t="str">
        <f t="shared" si="26"/>
        <v>067800016783500</v>
      </c>
      <c r="N772" s="2" t="str">
        <f t="shared" si="27"/>
        <v/>
      </c>
    </row>
    <row r="773" spans="1:14" ht="39" customHeight="1" x14ac:dyDescent="0.25">
      <c r="A773" t="str">
        <f t="shared" si="26"/>
        <v>06780001707500</v>
      </c>
      <c r="N773" s="2" t="str">
        <f t="shared" si="27"/>
        <v/>
      </c>
    </row>
    <row r="774" spans="1:14" ht="39" customHeight="1" x14ac:dyDescent="0.25">
      <c r="A774" t="str">
        <f t="shared" si="26"/>
        <v>9369000096018500</v>
      </c>
      <c r="N774" s="2" t="str">
        <f t="shared" si="27"/>
        <v/>
      </c>
    </row>
    <row r="775" spans="1:14" ht="39" customHeight="1" x14ac:dyDescent="0.25">
      <c r="A775" t="str">
        <f t="shared" si="26"/>
        <v>9369000098034600</v>
      </c>
      <c r="N775" s="2" t="str">
        <f t="shared" si="27"/>
        <v/>
      </c>
    </row>
    <row r="776" spans="1:14" ht="39" customHeight="1" x14ac:dyDescent="0.25">
      <c r="A776" t="str">
        <f t="shared" si="26"/>
        <v>936900009839500</v>
      </c>
      <c r="N776" s="2" t="str">
        <f t="shared" si="27"/>
        <v/>
      </c>
    </row>
    <row r="777" spans="1:14" ht="39" customHeight="1" x14ac:dyDescent="0.25">
      <c r="A777" t="str">
        <f t="shared" si="26"/>
        <v>936900010418000</v>
      </c>
      <c r="N777" s="2" t="str">
        <f t="shared" si="27"/>
        <v/>
      </c>
    </row>
    <row r="778" spans="1:14" ht="39" customHeight="1" x14ac:dyDescent="0.25">
      <c r="A778" t="str">
        <f t="shared" si="26"/>
        <v>068000008453000</v>
      </c>
      <c r="N778" s="2" t="str">
        <f t="shared" si="27"/>
        <v/>
      </c>
    </row>
    <row r="779" spans="1:14" ht="39" customHeight="1" x14ac:dyDescent="0.25">
      <c r="A779" t="str">
        <f t="shared" si="26"/>
        <v>068000008462600</v>
      </c>
      <c r="N779" s="2" t="str">
        <f t="shared" si="27"/>
        <v/>
      </c>
    </row>
    <row r="780" spans="1:14" ht="39" customHeight="1" x14ac:dyDescent="0.25">
      <c r="A780" t="str">
        <f t="shared" si="26"/>
        <v>0688000003427000</v>
      </c>
      <c r="N780" s="2" t="str">
        <f t="shared" si="27"/>
        <v/>
      </c>
    </row>
    <row r="781" spans="1:14" ht="39" customHeight="1" x14ac:dyDescent="0.25">
      <c r="A781" t="str">
        <f t="shared" si="26"/>
        <v>068800000905000</v>
      </c>
      <c r="N781" s="2" t="str">
        <f t="shared" si="27"/>
        <v/>
      </c>
    </row>
    <row r="782" spans="1:14" ht="39" customHeight="1" x14ac:dyDescent="0.25">
      <c r="A782" t="str">
        <f t="shared" si="26"/>
        <v>068800001087000</v>
      </c>
      <c r="N782" s="2" t="str">
        <f t="shared" si="27"/>
        <v/>
      </c>
    </row>
    <row r="783" spans="1:14" ht="39" customHeight="1" x14ac:dyDescent="0.25">
      <c r="A783" t="str">
        <f t="shared" si="26"/>
        <v>06880000114800</v>
      </c>
      <c r="N783" s="2" t="str">
        <f t="shared" si="27"/>
        <v/>
      </c>
    </row>
    <row r="784" spans="1:14" ht="39" customHeight="1" x14ac:dyDescent="0.25">
      <c r="A784" t="str">
        <f t="shared" si="26"/>
        <v>0688000011724000</v>
      </c>
      <c r="N784" s="2" t="str">
        <f t="shared" si="27"/>
        <v/>
      </c>
    </row>
    <row r="785" spans="1:14" ht="39" customHeight="1" x14ac:dyDescent="0.25">
      <c r="A785" t="str">
        <f t="shared" si="26"/>
        <v>068800001274000</v>
      </c>
      <c r="N785" s="2" t="str">
        <f t="shared" si="27"/>
        <v/>
      </c>
    </row>
    <row r="786" spans="1:14" ht="39" customHeight="1" x14ac:dyDescent="0.25">
      <c r="A786" t="str">
        <f t="shared" si="26"/>
        <v>068800001372600</v>
      </c>
      <c r="N786" s="2" t="str">
        <f t="shared" si="27"/>
        <v/>
      </c>
    </row>
    <row r="787" spans="1:14" ht="39" customHeight="1" x14ac:dyDescent="0.25">
      <c r="A787" t="str">
        <f t="shared" si="26"/>
        <v>068800002032500</v>
      </c>
      <c r="N787" s="2" t="str">
        <f t="shared" si="27"/>
        <v/>
      </c>
    </row>
    <row r="788" spans="1:14" ht="39" customHeight="1" x14ac:dyDescent="0.25">
      <c r="A788" t="str">
        <f t="shared" si="26"/>
        <v>068800002402000</v>
      </c>
      <c r="N788" s="2" t="str">
        <f t="shared" si="27"/>
        <v/>
      </c>
    </row>
    <row r="789" spans="1:14" ht="39" customHeight="1" x14ac:dyDescent="0.25">
      <c r="A789" t="str">
        <f t="shared" si="26"/>
        <v>936900008604000</v>
      </c>
      <c r="N789" s="2" t="str">
        <f t="shared" si="27"/>
        <v/>
      </c>
    </row>
    <row r="790" spans="1:14" ht="39" customHeight="1" x14ac:dyDescent="0.25">
      <c r="A790" t="str">
        <f t="shared" si="26"/>
        <v>936900008612800</v>
      </c>
      <c r="N790" s="2" t="str">
        <f t="shared" si="27"/>
        <v/>
      </c>
    </row>
    <row r="791" spans="1:14" ht="39" customHeight="1" x14ac:dyDescent="0.25">
      <c r="A791" t="str">
        <f t="shared" si="26"/>
        <v>068900001172000</v>
      </c>
      <c r="N791" s="2" t="str">
        <f t="shared" si="27"/>
        <v/>
      </c>
    </row>
    <row r="792" spans="1:14" ht="39" customHeight="1" x14ac:dyDescent="0.25">
      <c r="A792" t="str">
        <f t="shared" si="26"/>
        <v>9369000094118000</v>
      </c>
      <c r="N792" s="2" t="str">
        <f t="shared" si="27"/>
        <v/>
      </c>
    </row>
    <row r="793" spans="1:14" ht="39" customHeight="1" x14ac:dyDescent="0.25">
      <c r="A793" t="str">
        <f t="shared" si="26"/>
        <v>936900009445600</v>
      </c>
      <c r="N793" s="2" t="str">
        <f t="shared" si="27"/>
        <v/>
      </c>
    </row>
    <row r="794" spans="1:14" ht="39" customHeight="1" x14ac:dyDescent="0.25">
      <c r="A794" t="str">
        <f t="shared" si="26"/>
        <v>9369000095130000</v>
      </c>
      <c r="N794" s="2" t="str">
        <f t="shared" si="27"/>
        <v/>
      </c>
    </row>
    <row r="795" spans="1:14" ht="39" customHeight="1" x14ac:dyDescent="0.25">
      <c r="A795" t="str">
        <f t="shared" si="26"/>
        <v/>
      </c>
      <c r="N795" s="2" t="str">
        <f t="shared" si="27"/>
        <v/>
      </c>
    </row>
    <row r="796" spans="1:14" ht="39" customHeight="1" x14ac:dyDescent="0.25">
      <c r="A796" t="str">
        <f t="shared" si="26"/>
        <v/>
      </c>
      <c r="N796" s="2" t="str">
        <f t="shared" si="27"/>
        <v/>
      </c>
    </row>
    <row r="797" spans="1:14" ht="39" customHeight="1" x14ac:dyDescent="0.25">
      <c r="A797" t="str">
        <f t="shared" si="26"/>
        <v/>
      </c>
      <c r="N797" s="2" t="str">
        <f t="shared" si="27"/>
        <v/>
      </c>
    </row>
    <row r="798" spans="1:14" ht="39" customHeight="1" x14ac:dyDescent="0.25">
      <c r="A798" t="str">
        <f t="shared" si="26"/>
        <v/>
      </c>
      <c r="N798" s="2" t="str">
        <f t="shared" si="27"/>
        <v/>
      </c>
    </row>
    <row r="799" spans="1:14" ht="39" customHeight="1" x14ac:dyDescent="0.25">
      <c r="A799" t="str">
        <f t="shared" ref="A799:A862" si="28">E761&amp;H761</f>
        <v/>
      </c>
      <c r="N799" s="2" t="str">
        <f t="shared" si="27"/>
        <v/>
      </c>
    </row>
    <row r="800" spans="1:14" ht="39" customHeight="1" x14ac:dyDescent="0.25">
      <c r="A800" t="str">
        <f t="shared" si="28"/>
        <v/>
      </c>
      <c r="N800" s="2" t="str">
        <f t="shared" si="27"/>
        <v/>
      </c>
    </row>
    <row r="801" spans="1:14" ht="39" customHeight="1" x14ac:dyDescent="0.25">
      <c r="A801" t="str">
        <f t="shared" si="28"/>
        <v/>
      </c>
      <c r="N801" s="2" t="str">
        <f t="shared" si="27"/>
        <v/>
      </c>
    </row>
    <row r="802" spans="1:14" ht="39" customHeight="1" x14ac:dyDescent="0.25">
      <c r="A802" t="str">
        <f t="shared" si="28"/>
        <v/>
      </c>
      <c r="N802" s="2" t="str">
        <f t="shared" si="27"/>
        <v/>
      </c>
    </row>
    <row r="803" spans="1:14" ht="39" customHeight="1" x14ac:dyDescent="0.25">
      <c r="A803" t="str">
        <f t="shared" si="28"/>
        <v/>
      </c>
      <c r="N803" s="2" t="str">
        <f t="shared" si="27"/>
        <v/>
      </c>
    </row>
    <row r="804" spans="1:14" ht="39" customHeight="1" x14ac:dyDescent="0.25">
      <c r="A804" t="str">
        <f t="shared" si="28"/>
        <v/>
      </c>
      <c r="N804" s="2" t="str">
        <f t="shared" si="27"/>
        <v/>
      </c>
    </row>
    <row r="805" spans="1:14" ht="39" customHeight="1" x14ac:dyDescent="0.25">
      <c r="A805" t="str">
        <f t="shared" si="28"/>
        <v/>
      </c>
      <c r="N805" s="2" t="str">
        <f t="shared" si="27"/>
        <v/>
      </c>
    </row>
    <row r="806" spans="1:14" ht="39" customHeight="1" x14ac:dyDescent="0.25">
      <c r="A806" t="str">
        <f t="shared" si="28"/>
        <v/>
      </c>
      <c r="N806" s="2" t="str">
        <f t="shared" si="27"/>
        <v/>
      </c>
    </row>
    <row r="807" spans="1:14" ht="39" customHeight="1" x14ac:dyDescent="0.25">
      <c r="A807" t="str">
        <f t="shared" si="28"/>
        <v/>
      </c>
      <c r="N807" s="2" t="str">
        <f t="shared" si="27"/>
        <v/>
      </c>
    </row>
    <row r="808" spans="1:14" ht="39" customHeight="1" x14ac:dyDescent="0.25">
      <c r="A808" t="str">
        <f t="shared" si="28"/>
        <v/>
      </c>
      <c r="N808" s="2" t="str">
        <f t="shared" si="27"/>
        <v/>
      </c>
    </row>
    <row r="809" spans="1:14" ht="39" customHeight="1" x14ac:dyDescent="0.25">
      <c r="A809" t="str">
        <f t="shared" si="28"/>
        <v/>
      </c>
      <c r="N809" s="2" t="str">
        <f t="shared" si="27"/>
        <v/>
      </c>
    </row>
    <row r="810" spans="1:14" ht="39" customHeight="1" x14ac:dyDescent="0.25">
      <c r="A810" t="str">
        <f t="shared" si="28"/>
        <v/>
      </c>
      <c r="N810" s="2" t="str">
        <f t="shared" si="27"/>
        <v/>
      </c>
    </row>
    <row r="811" spans="1:14" ht="39" customHeight="1" x14ac:dyDescent="0.25">
      <c r="A811" t="str">
        <f t="shared" si="28"/>
        <v/>
      </c>
      <c r="N811" s="2" t="str">
        <f t="shared" si="27"/>
        <v/>
      </c>
    </row>
    <row r="812" spans="1:14" ht="39" customHeight="1" x14ac:dyDescent="0.25">
      <c r="A812" t="str">
        <f t="shared" si="28"/>
        <v/>
      </c>
      <c r="N812" s="2" t="str">
        <f t="shared" si="27"/>
        <v/>
      </c>
    </row>
    <row r="813" spans="1:14" ht="39" customHeight="1" x14ac:dyDescent="0.25">
      <c r="A813" t="str">
        <f t="shared" si="28"/>
        <v/>
      </c>
      <c r="N813" s="2" t="str">
        <f t="shared" si="27"/>
        <v/>
      </c>
    </row>
    <row r="814" spans="1:14" ht="39" customHeight="1" x14ac:dyDescent="0.25">
      <c r="A814" t="str">
        <f t="shared" si="28"/>
        <v/>
      </c>
      <c r="N814" s="2" t="str">
        <f t="shared" si="27"/>
        <v/>
      </c>
    </row>
    <row r="815" spans="1:14" ht="39" customHeight="1" x14ac:dyDescent="0.25">
      <c r="A815" t="str">
        <f t="shared" si="28"/>
        <v/>
      </c>
      <c r="N815" s="2" t="str">
        <f t="shared" si="27"/>
        <v/>
      </c>
    </row>
    <row r="816" spans="1:14" ht="39" customHeight="1" x14ac:dyDescent="0.25">
      <c r="A816" t="str">
        <f t="shared" si="28"/>
        <v/>
      </c>
      <c r="N816" s="2" t="str">
        <f t="shared" si="27"/>
        <v/>
      </c>
    </row>
    <row r="817" spans="1:14" ht="39" customHeight="1" x14ac:dyDescent="0.25">
      <c r="A817" t="str">
        <f t="shared" si="28"/>
        <v/>
      </c>
      <c r="N817" s="2" t="str">
        <f t="shared" si="27"/>
        <v/>
      </c>
    </row>
    <row r="818" spans="1:14" ht="39" customHeight="1" x14ac:dyDescent="0.25">
      <c r="A818" t="str">
        <f t="shared" si="28"/>
        <v/>
      </c>
      <c r="N818" s="2" t="str">
        <f t="shared" si="27"/>
        <v/>
      </c>
    </row>
    <row r="819" spans="1:14" ht="39" customHeight="1" x14ac:dyDescent="0.25">
      <c r="A819" t="str">
        <f t="shared" si="28"/>
        <v/>
      </c>
      <c r="N819" s="2" t="str">
        <f t="shared" si="27"/>
        <v/>
      </c>
    </row>
    <row r="820" spans="1:14" ht="39" customHeight="1" x14ac:dyDescent="0.25">
      <c r="A820" t="str">
        <f t="shared" si="28"/>
        <v/>
      </c>
      <c r="N820" s="2" t="str">
        <f t="shared" si="27"/>
        <v/>
      </c>
    </row>
    <row r="821" spans="1:14" ht="39" customHeight="1" x14ac:dyDescent="0.25">
      <c r="A821" t="str">
        <f t="shared" si="28"/>
        <v/>
      </c>
      <c r="N821" s="2" t="str">
        <f t="shared" si="27"/>
        <v/>
      </c>
    </row>
    <row r="822" spans="1:14" ht="39" customHeight="1" x14ac:dyDescent="0.25">
      <c r="A822" t="str">
        <f t="shared" si="28"/>
        <v/>
      </c>
      <c r="N822" s="2" t="str">
        <f t="shared" si="27"/>
        <v/>
      </c>
    </row>
    <row r="823" spans="1:14" ht="39" customHeight="1" x14ac:dyDescent="0.25">
      <c r="A823" t="str">
        <f t="shared" si="28"/>
        <v/>
      </c>
      <c r="N823" s="2" t="str">
        <f t="shared" si="27"/>
        <v/>
      </c>
    </row>
    <row r="824" spans="1:14" ht="39" customHeight="1" x14ac:dyDescent="0.25">
      <c r="A824" t="str">
        <f t="shared" si="28"/>
        <v/>
      </c>
      <c r="N824" s="2" t="str">
        <f t="shared" si="27"/>
        <v/>
      </c>
    </row>
    <row r="825" spans="1:14" ht="39" customHeight="1" x14ac:dyDescent="0.25">
      <c r="A825" t="str">
        <f t="shared" si="28"/>
        <v/>
      </c>
      <c r="N825" s="2" t="str">
        <f t="shared" ref="N825:N888" si="29">IFERROR(((I825*100)/H825)-100,"")</f>
        <v/>
      </c>
    </row>
    <row r="826" spans="1:14" ht="39" customHeight="1" x14ac:dyDescent="0.25">
      <c r="A826" t="str">
        <f t="shared" si="28"/>
        <v/>
      </c>
      <c r="N826" s="2" t="str">
        <f t="shared" si="29"/>
        <v/>
      </c>
    </row>
    <row r="827" spans="1:14" ht="39" customHeight="1" x14ac:dyDescent="0.25">
      <c r="A827" t="str">
        <f t="shared" si="28"/>
        <v/>
      </c>
      <c r="N827" s="2" t="str">
        <f t="shared" si="29"/>
        <v/>
      </c>
    </row>
    <row r="828" spans="1:14" ht="39" customHeight="1" x14ac:dyDescent="0.25">
      <c r="A828" t="str">
        <f t="shared" si="28"/>
        <v/>
      </c>
      <c r="N828" s="2" t="str">
        <f t="shared" si="29"/>
        <v/>
      </c>
    </row>
    <row r="829" spans="1:14" ht="39" customHeight="1" x14ac:dyDescent="0.25">
      <c r="A829" t="str">
        <f t="shared" si="28"/>
        <v/>
      </c>
      <c r="N829" s="2" t="str">
        <f t="shared" si="29"/>
        <v/>
      </c>
    </row>
    <row r="830" spans="1:14" ht="39" customHeight="1" x14ac:dyDescent="0.25">
      <c r="A830" t="str">
        <f t="shared" si="28"/>
        <v/>
      </c>
      <c r="N830" s="2" t="str">
        <f t="shared" si="29"/>
        <v/>
      </c>
    </row>
    <row r="831" spans="1:14" ht="39" customHeight="1" x14ac:dyDescent="0.25">
      <c r="A831" t="str">
        <f t="shared" si="28"/>
        <v/>
      </c>
      <c r="N831" s="2" t="str">
        <f t="shared" si="29"/>
        <v/>
      </c>
    </row>
    <row r="832" spans="1:14" ht="39" customHeight="1" x14ac:dyDescent="0.25">
      <c r="A832" t="str">
        <f t="shared" si="28"/>
        <v/>
      </c>
      <c r="N832" s="2" t="str">
        <f t="shared" si="29"/>
        <v/>
      </c>
    </row>
    <row r="833" spans="1:14" ht="39" customHeight="1" x14ac:dyDescent="0.25">
      <c r="A833" t="str">
        <f t="shared" si="28"/>
        <v/>
      </c>
      <c r="N833" s="2" t="str">
        <f t="shared" si="29"/>
        <v/>
      </c>
    </row>
    <row r="834" spans="1:14" ht="39" customHeight="1" x14ac:dyDescent="0.25">
      <c r="A834" t="str">
        <f t="shared" si="28"/>
        <v/>
      </c>
      <c r="N834" s="2" t="str">
        <f t="shared" si="29"/>
        <v/>
      </c>
    </row>
    <row r="835" spans="1:14" ht="39" customHeight="1" x14ac:dyDescent="0.25">
      <c r="A835" t="str">
        <f t="shared" si="28"/>
        <v/>
      </c>
      <c r="N835" s="2" t="str">
        <f t="shared" si="29"/>
        <v/>
      </c>
    </row>
    <row r="836" spans="1:14" ht="39" customHeight="1" x14ac:dyDescent="0.25">
      <c r="A836" t="str">
        <f t="shared" si="28"/>
        <v/>
      </c>
      <c r="N836" s="2" t="str">
        <f t="shared" si="29"/>
        <v/>
      </c>
    </row>
    <row r="837" spans="1:14" ht="39" customHeight="1" x14ac:dyDescent="0.25">
      <c r="A837" t="str">
        <f t="shared" si="28"/>
        <v/>
      </c>
      <c r="N837" s="2" t="str">
        <f t="shared" si="29"/>
        <v/>
      </c>
    </row>
    <row r="838" spans="1:14" ht="39" customHeight="1" x14ac:dyDescent="0.25">
      <c r="A838" t="str">
        <f t="shared" si="28"/>
        <v/>
      </c>
      <c r="N838" s="2" t="str">
        <f t="shared" si="29"/>
        <v/>
      </c>
    </row>
    <row r="839" spans="1:14" ht="39" customHeight="1" x14ac:dyDescent="0.25">
      <c r="A839" t="str">
        <f t="shared" si="28"/>
        <v/>
      </c>
      <c r="N839" s="2" t="str">
        <f t="shared" si="29"/>
        <v/>
      </c>
    </row>
    <row r="840" spans="1:14" ht="39" customHeight="1" x14ac:dyDescent="0.25">
      <c r="A840" t="str">
        <f t="shared" si="28"/>
        <v/>
      </c>
      <c r="N840" s="2" t="str">
        <f t="shared" si="29"/>
        <v/>
      </c>
    </row>
    <row r="841" spans="1:14" ht="39" customHeight="1" x14ac:dyDescent="0.25">
      <c r="A841" t="str">
        <f t="shared" si="28"/>
        <v/>
      </c>
      <c r="N841" s="2" t="str">
        <f t="shared" si="29"/>
        <v/>
      </c>
    </row>
    <row r="842" spans="1:14" ht="39" customHeight="1" x14ac:dyDescent="0.25">
      <c r="A842" t="str">
        <f t="shared" si="28"/>
        <v/>
      </c>
      <c r="N842" s="2" t="str">
        <f t="shared" si="29"/>
        <v/>
      </c>
    </row>
    <row r="843" spans="1:14" ht="39" customHeight="1" x14ac:dyDescent="0.25">
      <c r="A843" t="str">
        <f t="shared" si="28"/>
        <v/>
      </c>
      <c r="N843" s="2" t="str">
        <f t="shared" si="29"/>
        <v/>
      </c>
    </row>
    <row r="844" spans="1:14" ht="39" customHeight="1" x14ac:dyDescent="0.25">
      <c r="A844" t="str">
        <f t="shared" si="28"/>
        <v/>
      </c>
      <c r="N844" s="2" t="str">
        <f t="shared" si="29"/>
        <v/>
      </c>
    </row>
    <row r="845" spans="1:14" ht="39" customHeight="1" x14ac:dyDescent="0.25">
      <c r="A845" t="str">
        <f t="shared" si="28"/>
        <v/>
      </c>
      <c r="N845" s="2" t="str">
        <f t="shared" si="29"/>
        <v/>
      </c>
    </row>
    <row r="846" spans="1:14" ht="39" customHeight="1" x14ac:dyDescent="0.25">
      <c r="A846" t="str">
        <f t="shared" si="28"/>
        <v/>
      </c>
      <c r="N846" s="2" t="str">
        <f t="shared" si="29"/>
        <v/>
      </c>
    </row>
    <row r="847" spans="1:14" ht="39" customHeight="1" x14ac:dyDescent="0.25">
      <c r="A847" t="str">
        <f t="shared" si="28"/>
        <v/>
      </c>
      <c r="N847" s="2" t="str">
        <f t="shared" si="29"/>
        <v/>
      </c>
    </row>
    <row r="848" spans="1:14" ht="39" customHeight="1" x14ac:dyDescent="0.25">
      <c r="A848" t="str">
        <f t="shared" si="28"/>
        <v/>
      </c>
      <c r="N848" s="2" t="str">
        <f t="shared" si="29"/>
        <v/>
      </c>
    </row>
    <row r="849" spans="1:14" ht="39" customHeight="1" x14ac:dyDescent="0.25">
      <c r="A849" t="str">
        <f t="shared" si="28"/>
        <v/>
      </c>
      <c r="N849" s="2" t="str">
        <f t="shared" si="29"/>
        <v/>
      </c>
    </row>
    <row r="850" spans="1:14" ht="39" customHeight="1" x14ac:dyDescent="0.25">
      <c r="A850" t="str">
        <f t="shared" si="28"/>
        <v/>
      </c>
      <c r="N850" s="2" t="str">
        <f t="shared" si="29"/>
        <v/>
      </c>
    </row>
    <row r="851" spans="1:14" ht="39" customHeight="1" x14ac:dyDescent="0.25">
      <c r="A851" t="str">
        <f t="shared" si="28"/>
        <v/>
      </c>
      <c r="N851" s="2" t="str">
        <f t="shared" si="29"/>
        <v/>
      </c>
    </row>
    <row r="852" spans="1:14" ht="39" customHeight="1" x14ac:dyDescent="0.25">
      <c r="A852" t="str">
        <f t="shared" si="28"/>
        <v/>
      </c>
      <c r="N852" s="2" t="str">
        <f t="shared" si="29"/>
        <v/>
      </c>
    </row>
    <row r="853" spans="1:14" ht="39" customHeight="1" x14ac:dyDescent="0.25">
      <c r="A853" t="str">
        <f t="shared" si="28"/>
        <v/>
      </c>
      <c r="N853" s="2" t="str">
        <f t="shared" si="29"/>
        <v/>
      </c>
    </row>
    <row r="854" spans="1:14" ht="39" customHeight="1" x14ac:dyDescent="0.25">
      <c r="A854" t="str">
        <f t="shared" si="28"/>
        <v/>
      </c>
      <c r="N854" s="2" t="str">
        <f t="shared" si="29"/>
        <v/>
      </c>
    </row>
    <row r="855" spans="1:14" ht="39" customHeight="1" x14ac:dyDescent="0.25">
      <c r="A855" t="str">
        <f t="shared" si="28"/>
        <v/>
      </c>
      <c r="N855" s="2" t="str">
        <f t="shared" si="29"/>
        <v/>
      </c>
    </row>
    <row r="856" spans="1:14" ht="39" customHeight="1" x14ac:dyDescent="0.25">
      <c r="A856" t="str">
        <f t="shared" si="28"/>
        <v/>
      </c>
      <c r="N856" s="2" t="str">
        <f t="shared" si="29"/>
        <v/>
      </c>
    </row>
    <row r="857" spans="1:14" ht="39" customHeight="1" x14ac:dyDescent="0.25">
      <c r="A857" t="str">
        <f t="shared" si="28"/>
        <v/>
      </c>
      <c r="N857" s="2" t="str">
        <f t="shared" si="29"/>
        <v/>
      </c>
    </row>
    <row r="858" spans="1:14" ht="39" customHeight="1" x14ac:dyDescent="0.25">
      <c r="A858" t="str">
        <f t="shared" si="28"/>
        <v/>
      </c>
      <c r="N858" s="2" t="str">
        <f t="shared" si="29"/>
        <v/>
      </c>
    </row>
    <row r="859" spans="1:14" ht="39" customHeight="1" x14ac:dyDescent="0.25">
      <c r="A859" t="str">
        <f t="shared" si="28"/>
        <v/>
      </c>
      <c r="N859" s="2" t="str">
        <f t="shared" si="29"/>
        <v/>
      </c>
    </row>
    <row r="860" spans="1:14" ht="39" customHeight="1" x14ac:dyDescent="0.25">
      <c r="A860" t="str">
        <f t="shared" si="28"/>
        <v/>
      </c>
      <c r="N860" s="2" t="str">
        <f t="shared" si="29"/>
        <v/>
      </c>
    </row>
    <row r="861" spans="1:14" ht="39" customHeight="1" x14ac:dyDescent="0.25">
      <c r="A861" t="str">
        <f t="shared" si="28"/>
        <v/>
      </c>
      <c r="N861" s="2" t="str">
        <f t="shared" si="29"/>
        <v/>
      </c>
    </row>
    <row r="862" spans="1:14" ht="39" customHeight="1" x14ac:dyDescent="0.25">
      <c r="A862" t="str">
        <f t="shared" si="28"/>
        <v/>
      </c>
      <c r="N862" s="2" t="str">
        <f t="shared" si="29"/>
        <v/>
      </c>
    </row>
    <row r="863" spans="1:14" ht="39" customHeight="1" x14ac:dyDescent="0.25">
      <c r="A863" t="str">
        <f t="shared" ref="A863:A926" si="30">E825&amp;H825</f>
        <v/>
      </c>
      <c r="N863" s="2" t="str">
        <f t="shared" si="29"/>
        <v/>
      </c>
    </row>
    <row r="864" spans="1:14" ht="39" customHeight="1" x14ac:dyDescent="0.25">
      <c r="A864" t="str">
        <f t="shared" si="30"/>
        <v/>
      </c>
      <c r="N864" s="2" t="str">
        <f t="shared" si="29"/>
        <v/>
      </c>
    </row>
    <row r="865" spans="1:14" ht="39" customHeight="1" x14ac:dyDescent="0.25">
      <c r="A865" t="str">
        <f t="shared" si="30"/>
        <v/>
      </c>
      <c r="N865" s="2" t="str">
        <f t="shared" si="29"/>
        <v/>
      </c>
    </row>
    <row r="866" spans="1:14" ht="39" customHeight="1" x14ac:dyDescent="0.25">
      <c r="A866" t="str">
        <f t="shared" si="30"/>
        <v/>
      </c>
      <c r="N866" s="2" t="str">
        <f t="shared" si="29"/>
        <v/>
      </c>
    </row>
    <row r="867" spans="1:14" ht="39" customHeight="1" x14ac:dyDescent="0.25">
      <c r="A867" t="str">
        <f t="shared" si="30"/>
        <v/>
      </c>
      <c r="N867" s="2" t="str">
        <f t="shared" si="29"/>
        <v/>
      </c>
    </row>
    <row r="868" spans="1:14" ht="39" customHeight="1" x14ac:dyDescent="0.25">
      <c r="A868" t="str">
        <f t="shared" si="30"/>
        <v/>
      </c>
      <c r="N868" s="2" t="str">
        <f t="shared" si="29"/>
        <v/>
      </c>
    </row>
    <row r="869" spans="1:14" ht="39" customHeight="1" x14ac:dyDescent="0.25">
      <c r="A869" t="str">
        <f t="shared" si="30"/>
        <v/>
      </c>
      <c r="N869" s="2" t="str">
        <f t="shared" si="29"/>
        <v/>
      </c>
    </row>
    <row r="870" spans="1:14" ht="39" customHeight="1" x14ac:dyDescent="0.25">
      <c r="A870" t="str">
        <f t="shared" si="30"/>
        <v/>
      </c>
      <c r="N870" s="2" t="str">
        <f t="shared" si="29"/>
        <v/>
      </c>
    </row>
    <row r="871" spans="1:14" ht="39" customHeight="1" x14ac:dyDescent="0.25">
      <c r="A871" t="str">
        <f t="shared" si="30"/>
        <v/>
      </c>
      <c r="N871" s="2" t="str">
        <f t="shared" si="29"/>
        <v/>
      </c>
    </row>
    <row r="872" spans="1:14" ht="39" customHeight="1" x14ac:dyDescent="0.25">
      <c r="A872" t="str">
        <f t="shared" si="30"/>
        <v/>
      </c>
      <c r="N872" s="2" t="str">
        <f t="shared" si="29"/>
        <v/>
      </c>
    </row>
    <row r="873" spans="1:14" ht="39" customHeight="1" x14ac:dyDescent="0.25">
      <c r="A873" t="str">
        <f t="shared" si="30"/>
        <v/>
      </c>
      <c r="N873" s="2" t="str">
        <f t="shared" si="29"/>
        <v/>
      </c>
    </row>
    <row r="874" spans="1:14" ht="39" customHeight="1" x14ac:dyDescent="0.25">
      <c r="A874" t="str">
        <f t="shared" si="30"/>
        <v/>
      </c>
      <c r="N874" s="2" t="str">
        <f t="shared" si="29"/>
        <v/>
      </c>
    </row>
    <row r="875" spans="1:14" ht="39" customHeight="1" x14ac:dyDescent="0.25">
      <c r="A875" t="str">
        <f t="shared" si="30"/>
        <v/>
      </c>
      <c r="N875" s="2" t="str">
        <f t="shared" si="29"/>
        <v/>
      </c>
    </row>
    <row r="876" spans="1:14" ht="39" customHeight="1" x14ac:dyDescent="0.25">
      <c r="A876" t="str">
        <f t="shared" si="30"/>
        <v/>
      </c>
      <c r="N876" s="2" t="str">
        <f t="shared" si="29"/>
        <v/>
      </c>
    </row>
    <row r="877" spans="1:14" ht="39" customHeight="1" x14ac:dyDescent="0.25">
      <c r="A877" t="str">
        <f t="shared" si="30"/>
        <v/>
      </c>
      <c r="N877" s="2" t="str">
        <f t="shared" si="29"/>
        <v/>
      </c>
    </row>
    <row r="878" spans="1:14" ht="39" customHeight="1" x14ac:dyDescent="0.25">
      <c r="A878" t="str">
        <f t="shared" si="30"/>
        <v/>
      </c>
      <c r="N878" s="2" t="str">
        <f t="shared" si="29"/>
        <v/>
      </c>
    </row>
    <row r="879" spans="1:14" ht="39" customHeight="1" x14ac:dyDescent="0.25">
      <c r="A879" t="str">
        <f t="shared" si="30"/>
        <v/>
      </c>
      <c r="N879" s="2" t="str">
        <f t="shared" si="29"/>
        <v/>
      </c>
    </row>
    <row r="880" spans="1:14" ht="39" customHeight="1" x14ac:dyDescent="0.25">
      <c r="A880" t="str">
        <f t="shared" si="30"/>
        <v/>
      </c>
      <c r="N880" s="2" t="str">
        <f t="shared" si="29"/>
        <v/>
      </c>
    </row>
    <row r="881" spans="1:14" ht="39" customHeight="1" x14ac:dyDescent="0.25">
      <c r="A881" t="str">
        <f t="shared" si="30"/>
        <v/>
      </c>
      <c r="N881" s="2" t="str">
        <f t="shared" si="29"/>
        <v/>
      </c>
    </row>
    <row r="882" spans="1:14" ht="39" customHeight="1" x14ac:dyDescent="0.25">
      <c r="A882" t="str">
        <f t="shared" si="30"/>
        <v/>
      </c>
      <c r="N882" s="2" t="str">
        <f t="shared" si="29"/>
        <v/>
      </c>
    </row>
    <row r="883" spans="1:14" ht="39" customHeight="1" x14ac:dyDescent="0.25">
      <c r="A883" t="str">
        <f t="shared" si="30"/>
        <v/>
      </c>
      <c r="N883" s="2" t="str">
        <f t="shared" si="29"/>
        <v/>
      </c>
    </row>
    <row r="884" spans="1:14" ht="39" customHeight="1" x14ac:dyDescent="0.25">
      <c r="A884" t="str">
        <f t="shared" si="30"/>
        <v/>
      </c>
      <c r="N884" s="2" t="str">
        <f t="shared" si="29"/>
        <v/>
      </c>
    </row>
    <row r="885" spans="1:14" ht="39" customHeight="1" x14ac:dyDescent="0.25">
      <c r="A885" t="str">
        <f t="shared" si="30"/>
        <v/>
      </c>
      <c r="N885" s="2" t="str">
        <f t="shared" si="29"/>
        <v/>
      </c>
    </row>
    <row r="886" spans="1:14" ht="39" customHeight="1" x14ac:dyDescent="0.25">
      <c r="A886" t="str">
        <f t="shared" si="30"/>
        <v/>
      </c>
      <c r="N886" s="2" t="str">
        <f t="shared" si="29"/>
        <v/>
      </c>
    </row>
    <row r="887" spans="1:14" ht="39" customHeight="1" x14ac:dyDescent="0.25">
      <c r="A887" t="str">
        <f t="shared" si="30"/>
        <v/>
      </c>
      <c r="N887" s="2" t="str">
        <f t="shared" si="29"/>
        <v/>
      </c>
    </row>
    <row r="888" spans="1:14" ht="39" customHeight="1" x14ac:dyDescent="0.25">
      <c r="A888" t="str">
        <f t="shared" si="30"/>
        <v/>
      </c>
      <c r="N888" s="2" t="str">
        <f t="shared" si="29"/>
        <v/>
      </c>
    </row>
    <row r="889" spans="1:14" ht="39" customHeight="1" x14ac:dyDescent="0.25">
      <c r="A889" t="str">
        <f t="shared" si="30"/>
        <v/>
      </c>
      <c r="N889" s="2" t="str">
        <f t="shared" ref="N889:N952" si="31">IFERROR(((I889*100)/H889)-100,"")</f>
        <v/>
      </c>
    </row>
    <row r="890" spans="1:14" ht="39" customHeight="1" x14ac:dyDescent="0.25">
      <c r="A890" t="str">
        <f t="shared" si="30"/>
        <v/>
      </c>
      <c r="N890" s="2" t="str">
        <f t="shared" si="31"/>
        <v/>
      </c>
    </row>
    <row r="891" spans="1:14" ht="39" customHeight="1" x14ac:dyDescent="0.25">
      <c r="A891" t="str">
        <f t="shared" si="30"/>
        <v/>
      </c>
      <c r="N891" s="2" t="str">
        <f t="shared" si="31"/>
        <v/>
      </c>
    </row>
    <row r="892" spans="1:14" ht="39" customHeight="1" x14ac:dyDescent="0.25">
      <c r="A892" t="str">
        <f t="shared" si="30"/>
        <v/>
      </c>
      <c r="N892" s="2" t="str">
        <f t="shared" si="31"/>
        <v/>
      </c>
    </row>
    <row r="893" spans="1:14" ht="39" customHeight="1" x14ac:dyDescent="0.25">
      <c r="A893" t="str">
        <f t="shared" si="30"/>
        <v/>
      </c>
      <c r="N893" s="2" t="str">
        <f t="shared" si="31"/>
        <v/>
      </c>
    </row>
    <row r="894" spans="1:14" ht="39" customHeight="1" x14ac:dyDescent="0.25">
      <c r="A894" t="str">
        <f t="shared" si="30"/>
        <v/>
      </c>
      <c r="N894" s="2" t="str">
        <f t="shared" si="31"/>
        <v/>
      </c>
    </row>
    <row r="895" spans="1:14" ht="39" customHeight="1" x14ac:dyDescent="0.25">
      <c r="A895" t="str">
        <f t="shared" si="30"/>
        <v/>
      </c>
      <c r="N895" s="2" t="str">
        <f t="shared" si="31"/>
        <v/>
      </c>
    </row>
    <row r="896" spans="1:14" ht="39" customHeight="1" x14ac:dyDescent="0.25">
      <c r="A896" t="str">
        <f t="shared" si="30"/>
        <v/>
      </c>
      <c r="N896" s="2" t="str">
        <f t="shared" si="31"/>
        <v/>
      </c>
    </row>
    <row r="897" spans="1:14" ht="39" customHeight="1" x14ac:dyDescent="0.25">
      <c r="A897" t="str">
        <f t="shared" si="30"/>
        <v/>
      </c>
      <c r="N897" s="2" t="str">
        <f t="shared" si="31"/>
        <v/>
      </c>
    </row>
    <row r="898" spans="1:14" ht="39" customHeight="1" x14ac:dyDescent="0.25">
      <c r="A898" t="str">
        <f t="shared" si="30"/>
        <v/>
      </c>
      <c r="N898" s="2" t="str">
        <f t="shared" si="31"/>
        <v/>
      </c>
    </row>
    <row r="899" spans="1:14" ht="39" customHeight="1" x14ac:dyDescent="0.25">
      <c r="A899" t="str">
        <f t="shared" si="30"/>
        <v/>
      </c>
      <c r="N899" s="2" t="str">
        <f t="shared" si="31"/>
        <v/>
      </c>
    </row>
    <row r="900" spans="1:14" ht="39" customHeight="1" x14ac:dyDescent="0.25">
      <c r="A900" t="str">
        <f t="shared" si="30"/>
        <v/>
      </c>
      <c r="N900" s="2" t="str">
        <f t="shared" si="31"/>
        <v/>
      </c>
    </row>
    <row r="901" spans="1:14" ht="39" customHeight="1" x14ac:dyDescent="0.25">
      <c r="A901" t="str">
        <f t="shared" si="30"/>
        <v/>
      </c>
      <c r="N901" s="2" t="str">
        <f t="shared" si="31"/>
        <v/>
      </c>
    </row>
    <row r="902" spans="1:14" ht="39" customHeight="1" x14ac:dyDescent="0.25">
      <c r="A902" t="str">
        <f t="shared" si="30"/>
        <v/>
      </c>
      <c r="N902" s="2" t="str">
        <f t="shared" si="31"/>
        <v/>
      </c>
    </row>
    <row r="903" spans="1:14" ht="39" customHeight="1" x14ac:dyDescent="0.25">
      <c r="A903" t="str">
        <f t="shared" si="30"/>
        <v/>
      </c>
      <c r="N903" s="2" t="str">
        <f t="shared" si="31"/>
        <v/>
      </c>
    </row>
    <row r="904" spans="1:14" ht="39" customHeight="1" x14ac:dyDescent="0.25">
      <c r="A904" t="str">
        <f t="shared" si="30"/>
        <v/>
      </c>
      <c r="N904" s="2" t="str">
        <f t="shared" si="31"/>
        <v/>
      </c>
    </row>
    <row r="905" spans="1:14" ht="39" customHeight="1" x14ac:dyDescent="0.25">
      <c r="A905" t="str">
        <f t="shared" si="30"/>
        <v/>
      </c>
      <c r="N905" s="2" t="str">
        <f t="shared" si="31"/>
        <v/>
      </c>
    </row>
    <row r="906" spans="1:14" ht="39" customHeight="1" x14ac:dyDescent="0.25">
      <c r="A906" t="str">
        <f t="shared" si="30"/>
        <v/>
      </c>
      <c r="N906" s="2" t="str">
        <f t="shared" si="31"/>
        <v/>
      </c>
    </row>
    <row r="907" spans="1:14" ht="39" customHeight="1" x14ac:dyDescent="0.25">
      <c r="A907" t="str">
        <f t="shared" si="30"/>
        <v/>
      </c>
      <c r="N907" s="2" t="str">
        <f t="shared" si="31"/>
        <v/>
      </c>
    </row>
    <row r="908" spans="1:14" ht="39" customHeight="1" x14ac:dyDescent="0.25">
      <c r="A908" t="str">
        <f t="shared" si="30"/>
        <v/>
      </c>
      <c r="N908" s="2" t="str">
        <f t="shared" si="31"/>
        <v/>
      </c>
    </row>
    <row r="909" spans="1:14" ht="39" customHeight="1" x14ac:dyDescent="0.25">
      <c r="A909" t="str">
        <f t="shared" si="30"/>
        <v/>
      </c>
      <c r="N909" s="2" t="str">
        <f t="shared" si="31"/>
        <v/>
      </c>
    </row>
    <row r="910" spans="1:14" ht="39" customHeight="1" x14ac:dyDescent="0.25">
      <c r="A910" t="str">
        <f t="shared" si="30"/>
        <v/>
      </c>
      <c r="N910" s="2" t="str">
        <f t="shared" si="31"/>
        <v/>
      </c>
    </row>
    <row r="911" spans="1:14" ht="39" customHeight="1" x14ac:dyDescent="0.25">
      <c r="A911" t="str">
        <f t="shared" si="30"/>
        <v/>
      </c>
      <c r="N911" s="2" t="str">
        <f t="shared" si="31"/>
        <v/>
      </c>
    </row>
    <row r="912" spans="1:14" ht="39" customHeight="1" x14ac:dyDescent="0.25">
      <c r="A912" t="str">
        <f t="shared" si="30"/>
        <v/>
      </c>
      <c r="N912" s="2" t="str">
        <f t="shared" si="31"/>
        <v/>
      </c>
    </row>
    <row r="913" spans="1:14" ht="39" customHeight="1" x14ac:dyDescent="0.25">
      <c r="A913" t="str">
        <f t="shared" si="30"/>
        <v/>
      </c>
      <c r="N913" s="2" t="str">
        <f t="shared" si="31"/>
        <v/>
      </c>
    </row>
    <row r="914" spans="1:14" ht="39" customHeight="1" x14ac:dyDescent="0.25">
      <c r="A914" t="str">
        <f t="shared" si="30"/>
        <v/>
      </c>
      <c r="N914" s="2" t="str">
        <f t="shared" si="31"/>
        <v/>
      </c>
    </row>
    <row r="915" spans="1:14" ht="39" customHeight="1" x14ac:dyDescent="0.25">
      <c r="A915" t="str">
        <f t="shared" si="30"/>
        <v/>
      </c>
      <c r="N915" s="2" t="str">
        <f t="shared" si="31"/>
        <v/>
      </c>
    </row>
    <row r="916" spans="1:14" ht="39" customHeight="1" x14ac:dyDescent="0.25">
      <c r="A916" t="str">
        <f t="shared" si="30"/>
        <v/>
      </c>
      <c r="N916" s="2" t="str">
        <f t="shared" si="31"/>
        <v/>
      </c>
    </row>
    <row r="917" spans="1:14" ht="39" customHeight="1" x14ac:dyDescent="0.25">
      <c r="A917" t="str">
        <f t="shared" si="30"/>
        <v/>
      </c>
      <c r="N917" s="2" t="str">
        <f t="shared" si="31"/>
        <v/>
      </c>
    </row>
    <row r="918" spans="1:14" ht="39" customHeight="1" x14ac:dyDescent="0.25">
      <c r="A918" t="str">
        <f t="shared" si="30"/>
        <v/>
      </c>
      <c r="N918" s="2" t="str">
        <f t="shared" si="31"/>
        <v/>
      </c>
    </row>
    <row r="919" spans="1:14" ht="39" customHeight="1" x14ac:dyDescent="0.25">
      <c r="A919" t="str">
        <f t="shared" si="30"/>
        <v/>
      </c>
      <c r="N919" s="2" t="str">
        <f t="shared" si="31"/>
        <v/>
      </c>
    </row>
    <row r="920" spans="1:14" ht="39" customHeight="1" x14ac:dyDescent="0.25">
      <c r="A920" t="str">
        <f t="shared" si="30"/>
        <v/>
      </c>
      <c r="N920" s="2" t="str">
        <f t="shared" si="31"/>
        <v/>
      </c>
    </row>
    <row r="921" spans="1:14" ht="39" customHeight="1" x14ac:dyDescent="0.25">
      <c r="A921" t="str">
        <f t="shared" si="30"/>
        <v/>
      </c>
      <c r="N921" s="2" t="str">
        <f t="shared" si="31"/>
        <v/>
      </c>
    </row>
    <row r="922" spans="1:14" ht="39" customHeight="1" x14ac:dyDescent="0.25">
      <c r="A922" t="str">
        <f t="shared" si="30"/>
        <v/>
      </c>
      <c r="N922" s="2" t="str">
        <f t="shared" si="31"/>
        <v/>
      </c>
    </row>
    <row r="923" spans="1:14" ht="39" customHeight="1" x14ac:dyDescent="0.25">
      <c r="A923" t="str">
        <f t="shared" si="30"/>
        <v/>
      </c>
      <c r="N923" s="2" t="str">
        <f t="shared" si="31"/>
        <v/>
      </c>
    </row>
    <row r="924" spans="1:14" ht="39" customHeight="1" x14ac:dyDescent="0.25">
      <c r="A924" t="str">
        <f t="shared" si="30"/>
        <v/>
      </c>
      <c r="N924" s="2" t="str">
        <f t="shared" si="31"/>
        <v/>
      </c>
    </row>
    <row r="925" spans="1:14" ht="39" customHeight="1" x14ac:dyDescent="0.25">
      <c r="A925" t="str">
        <f t="shared" si="30"/>
        <v/>
      </c>
      <c r="N925" s="2" t="str">
        <f t="shared" si="31"/>
        <v/>
      </c>
    </row>
    <row r="926" spans="1:14" ht="39" customHeight="1" x14ac:dyDescent="0.25">
      <c r="A926" t="str">
        <f t="shared" si="30"/>
        <v/>
      </c>
      <c r="N926" s="2" t="str">
        <f t="shared" si="31"/>
        <v/>
      </c>
    </row>
    <row r="927" spans="1:14" ht="39" customHeight="1" x14ac:dyDescent="0.25">
      <c r="A927" t="str">
        <f t="shared" ref="A927:A990" si="32">E889&amp;H889</f>
        <v/>
      </c>
      <c r="N927" s="2" t="str">
        <f t="shared" si="31"/>
        <v/>
      </c>
    </row>
    <row r="928" spans="1:14" ht="39" customHeight="1" x14ac:dyDescent="0.25">
      <c r="A928" t="str">
        <f t="shared" si="32"/>
        <v/>
      </c>
      <c r="N928" s="2" t="str">
        <f t="shared" si="31"/>
        <v/>
      </c>
    </row>
    <row r="929" spans="1:14" ht="39" customHeight="1" x14ac:dyDescent="0.25">
      <c r="A929" t="str">
        <f t="shared" si="32"/>
        <v/>
      </c>
      <c r="N929" s="2" t="str">
        <f t="shared" si="31"/>
        <v/>
      </c>
    </row>
    <row r="930" spans="1:14" ht="39" customHeight="1" x14ac:dyDescent="0.25">
      <c r="A930" t="str">
        <f t="shared" si="32"/>
        <v/>
      </c>
      <c r="N930" s="2" t="str">
        <f t="shared" si="31"/>
        <v/>
      </c>
    </row>
    <row r="931" spans="1:14" ht="39" customHeight="1" x14ac:dyDescent="0.25">
      <c r="A931" t="str">
        <f t="shared" si="32"/>
        <v/>
      </c>
      <c r="N931" s="2" t="str">
        <f t="shared" si="31"/>
        <v/>
      </c>
    </row>
    <row r="932" spans="1:14" ht="39" customHeight="1" x14ac:dyDescent="0.25">
      <c r="A932" t="str">
        <f t="shared" si="32"/>
        <v/>
      </c>
      <c r="N932" s="2" t="str">
        <f t="shared" si="31"/>
        <v/>
      </c>
    </row>
    <row r="933" spans="1:14" ht="39" customHeight="1" x14ac:dyDescent="0.25">
      <c r="A933" t="str">
        <f t="shared" si="32"/>
        <v/>
      </c>
      <c r="N933" s="2" t="str">
        <f t="shared" si="31"/>
        <v/>
      </c>
    </row>
    <row r="934" spans="1:14" ht="39" customHeight="1" x14ac:dyDescent="0.25">
      <c r="A934" t="str">
        <f t="shared" si="32"/>
        <v/>
      </c>
      <c r="N934" s="2" t="str">
        <f t="shared" si="31"/>
        <v/>
      </c>
    </row>
    <row r="935" spans="1:14" ht="39" customHeight="1" x14ac:dyDescent="0.25">
      <c r="A935" t="str">
        <f t="shared" si="32"/>
        <v/>
      </c>
      <c r="N935" s="2" t="str">
        <f t="shared" si="31"/>
        <v/>
      </c>
    </row>
    <row r="936" spans="1:14" ht="39" customHeight="1" x14ac:dyDescent="0.25">
      <c r="A936" t="str">
        <f t="shared" si="32"/>
        <v/>
      </c>
      <c r="N936" s="2" t="str">
        <f t="shared" si="31"/>
        <v/>
      </c>
    </row>
    <row r="937" spans="1:14" ht="39" customHeight="1" x14ac:dyDescent="0.25">
      <c r="A937" t="str">
        <f t="shared" si="32"/>
        <v/>
      </c>
      <c r="N937" s="2" t="str">
        <f t="shared" si="31"/>
        <v/>
      </c>
    </row>
    <row r="938" spans="1:14" ht="39" customHeight="1" x14ac:dyDescent="0.25">
      <c r="A938" t="str">
        <f t="shared" si="32"/>
        <v/>
      </c>
      <c r="N938" s="2" t="str">
        <f t="shared" si="31"/>
        <v/>
      </c>
    </row>
    <row r="939" spans="1:14" ht="39" customHeight="1" x14ac:dyDescent="0.25">
      <c r="A939" t="str">
        <f t="shared" si="32"/>
        <v/>
      </c>
      <c r="N939" s="2" t="str">
        <f t="shared" si="31"/>
        <v/>
      </c>
    </row>
    <row r="940" spans="1:14" ht="39" customHeight="1" x14ac:dyDescent="0.25">
      <c r="A940" t="str">
        <f t="shared" si="32"/>
        <v/>
      </c>
      <c r="N940" s="2" t="str">
        <f t="shared" si="31"/>
        <v/>
      </c>
    </row>
    <row r="941" spans="1:14" ht="39" customHeight="1" x14ac:dyDescent="0.25">
      <c r="A941" t="str">
        <f t="shared" si="32"/>
        <v/>
      </c>
      <c r="N941" s="2" t="str">
        <f t="shared" si="31"/>
        <v/>
      </c>
    </row>
    <row r="942" spans="1:14" ht="39" customHeight="1" x14ac:dyDescent="0.25">
      <c r="A942" t="str">
        <f t="shared" si="32"/>
        <v/>
      </c>
      <c r="N942" s="2" t="str">
        <f t="shared" si="31"/>
        <v/>
      </c>
    </row>
    <row r="943" spans="1:14" ht="39" customHeight="1" x14ac:dyDescent="0.25">
      <c r="A943" t="str">
        <f t="shared" si="32"/>
        <v/>
      </c>
      <c r="N943" s="2" t="str">
        <f t="shared" si="31"/>
        <v/>
      </c>
    </row>
    <row r="944" spans="1:14" ht="39" customHeight="1" x14ac:dyDescent="0.25">
      <c r="A944" t="str">
        <f t="shared" si="32"/>
        <v/>
      </c>
      <c r="N944" s="2" t="str">
        <f t="shared" si="31"/>
        <v/>
      </c>
    </row>
    <row r="945" spans="1:14" ht="39" customHeight="1" x14ac:dyDescent="0.25">
      <c r="A945" t="str">
        <f t="shared" si="32"/>
        <v/>
      </c>
      <c r="N945" s="2" t="str">
        <f t="shared" si="31"/>
        <v/>
      </c>
    </row>
    <row r="946" spans="1:14" ht="39" customHeight="1" x14ac:dyDescent="0.25">
      <c r="A946" t="str">
        <f t="shared" si="32"/>
        <v/>
      </c>
      <c r="N946" s="2" t="str">
        <f t="shared" si="31"/>
        <v/>
      </c>
    </row>
    <row r="947" spans="1:14" ht="39" customHeight="1" x14ac:dyDescent="0.25">
      <c r="A947" t="str">
        <f t="shared" si="32"/>
        <v/>
      </c>
      <c r="N947" s="2" t="str">
        <f t="shared" si="31"/>
        <v/>
      </c>
    </row>
    <row r="948" spans="1:14" ht="39" customHeight="1" x14ac:dyDescent="0.25">
      <c r="A948" t="str">
        <f t="shared" si="32"/>
        <v/>
      </c>
      <c r="N948" s="2" t="str">
        <f t="shared" si="31"/>
        <v/>
      </c>
    </row>
    <row r="949" spans="1:14" ht="39" customHeight="1" x14ac:dyDescent="0.25">
      <c r="A949" t="str">
        <f t="shared" si="32"/>
        <v/>
      </c>
      <c r="N949" s="2" t="str">
        <f t="shared" si="31"/>
        <v/>
      </c>
    </row>
    <row r="950" spans="1:14" ht="39" customHeight="1" x14ac:dyDescent="0.25">
      <c r="A950" t="str">
        <f t="shared" si="32"/>
        <v/>
      </c>
      <c r="N950" s="2" t="str">
        <f t="shared" si="31"/>
        <v/>
      </c>
    </row>
    <row r="951" spans="1:14" ht="39" customHeight="1" x14ac:dyDescent="0.25">
      <c r="A951" t="str">
        <f t="shared" si="32"/>
        <v/>
      </c>
      <c r="N951" s="2" t="str">
        <f t="shared" si="31"/>
        <v/>
      </c>
    </row>
    <row r="952" spans="1:14" ht="39" customHeight="1" x14ac:dyDescent="0.25">
      <c r="A952" t="str">
        <f t="shared" si="32"/>
        <v/>
      </c>
      <c r="N952" s="2" t="str">
        <f t="shared" si="31"/>
        <v/>
      </c>
    </row>
    <row r="953" spans="1:14" ht="39" customHeight="1" x14ac:dyDescent="0.25">
      <c r="A953" t="str">
        <f t="shared" si="32"/>
        <v/>
      </c>
      <c r="N953" s="2" t="str">
        <f t="shared" ref="N953:N1016" si="33">IFERROR(((I953*100)/H953)-100,"")</f>
        <v/>
      </c>
    </row>
    <row r="954" spans="1:14" ht="39" customHeight="1" x14ac:dyDescent="0.25">
      <c r="A954" t="str">
        <f t="shared" si="32"/>
        <v/>
      </c>
      <c r="N954" s="2" t="str">
        <f t="shared" si="33"/>
        <v/>
      </c>
    </row>
    <row r="955" spans="1:14" ht="39" customHeight="1" x14ac:dyDescent="0.25">
      <c r="A955" t="str">
        <f t="shared" si="32"/>
        <v/>
      </c>
      <c r="N955" s="2" t="str">
        <f t="shared" si="33"/>
        <v/>
      </c>
    </row>
    <row r="956" spans="1:14" ht="39" customHeight="1" x14ac:dyDescent="0.25">
      <c r="A956" t="str">
        <f t="shared" si="32"/>
        <v/>
      </c>
      <c r="N956" s="2" t="str">
        <f t="shared" si="33"/>
        <v/>
      </c>
    </row>
    <row r="957" spans="1:14" ht="39" customHeight="1" x14ac:dyDescent="0.25">
      <c r="A957" t="str">
        <f t="shared" si="32"/>
        <v/>
      </c>
      <c r="N957" s="2" t="str">
        <f t="shared" si="33"/>
        <v/>
      </c>
    </row>
    <row r="958" spans="1:14" ht="39" customHeight="1" x14ac:dyDescent="0.25">
      <c r="A958" t="str">
        <f t="shared" si="32"/>
        <v/>
      </c>
      <c r="N958" s="2" t="str">
        <f t="shared" si="33"/>
        <v/>
      </c>
    </row>
    <row r="959" spans="1:14" ht="39" customHeight="1" x14ac:dyDescent="0.25">
      <c r="A959" t="str">
        <f t="shared" si="32"/>
        <v/>
      </c>
      <c r="N959" s="2" t="str">
        <f t="shared" si="33"/>
        <v/>
      </c>
    </row>
    <row r="960" spans="1:14" ht="39" customHeight="1" x14ac:dyDescent="0.25">
      <c r="A960" t="str">
        <f t="shared" si="32"/>
        <v/>
      </c>
      <c r="N960" s="2" t="str">
        <f t="shared" si="33"/>
        <v/>
      </c>
    </row>
    <row r="961" spans="1:14" ht="39" customHeight="1" x14ac:dyDescent="0.25">
      <c r="A961" t="str">
        <f t="shared" si="32"/>
        <v/>
      </c>
      <c r="N961" s="2" t="str">
        <f t="shared" si="33"/>
        <v/>
      </c>
    </row>
    <row r="962" spans="1:14" ht="39" customHeight="1" x14ac:dyDescent="0.25">
      <c r="A962" t="str">
        <f t="shared" si="32"/>
        <v/>
      </c>
      <c r="N962" s="2" t="str">
        <f t="shared" si="33"/>
        <v/>
      </c>
    </row>
    <row r="963" spans="1:14" ht="39" customHeight="1" x14ac:dyDescent="0.25">
      <c r="A963" t="str">
        <f t="shared" si="32"/>
        <v/>
      </c>
      <c r="N963" s="2" t="str">
        <f t="shared" si="33"/>
        <v/>
      </c>
    </row>
    <row r="964" spans="1:14" ht="39" customHeight="1" x14ac:dyDescent="0.25">
      <c r="A964" t="str">
        <f t="shared" si="32"/>
        <v/>
      </c>
      <c r="N964" s="2" t="str">
        <f t="shared" si="33"/>
        <v/>
      </c>
    </row>
    <row r="965" spans="1:14" ht="39" customHeight="1" x14ac:dyDescent="0.25">
      <c r="A965" t="str">
        <f t="shared" si="32"/>
        <v/>
      </c>
      <c r="N965" s="2" t="str">
        <f t="shared" si="33"/>
        <v/>
      </c>
    </row>
    <row r="966" spans="1:14" ht="39" customHeight="1" x14ac:dyDescent="0.25">
      <c r="A966" t="str">
        <f t="shared" si="32"/>
        <v/>
      </c>
      <c r="N966" s="2" t="str">
        <f t="shared" si="33"/>
        <v/>
      </c>
    </row>
    <row r="967" spans="1:14" ht="39" customHeight="1" x14ac:dyDescent="0.25">
      <c r="A967" t="str">
        <f t="shared" si="32"/>
        <v/>
      </c>
      <c r="N967" s="2" t="str">
        <f t="shared" si="33"/>
        <v/>
      </c>
    </row>
    <row r="968" spans="1:14" ht="39" customHeight="1" x14ac:dyDescent="0.25">
      <c r="A968" t="str">
        <f t="shared" si="32"/>
        <v/>
      </c>
      <c r="N968" s="2" t="str">
        <f t="shared" si="33"/>
        <v/>
      </c>
    </row>
    <row r="969" spans="1:14" ht="39" customHeight="1" x14ac:dyDescent="0.25">
      <c r="A969" t="str">
        <f t="shared" si="32"/>
        <v/>
      </c>
      <c r="N969" s="2" t="str">
        <f t="shared" si="33"/>
        <v/>
      </c>
    </row>
    <row r="970" spans="1:14" ht="39" customHeight="1" x14ac:dyDescent="0.25">
      <c r="A970" t="str">
        <f t="shared" si="32"/>
        <v/>
      </c>
      <c r="N970" s="2" t="str">
        <f t="shared" si="33"/>
        <v/>
      </c>
    </row>
    <row r="971" spans="1:14" ht="39" customHeight="1" x14ac:dyDescent="0.25">
      <c r="A971" t="str">
        <f t="shared" si="32"/>
        <v/>
      </c>
      <c r="N971" s="2" t="str">
        <f t="shared" si="33"/>
        <v/>
      </c>
    </row>
    <row r="972" spans="1:14" ht="39" customHeight="1" x14ac:dyDescent="0.25">
      <c r="A972" t="str">
        <f t="shared" si="32"/>
        <v/>
      </c>
      <c r="N972" s="2" t="str">
        <f t="shared" si="33"/>
        <v/>
      </c>
    </row>
    <row r="973" spans="1:14" ht="39" customHeight="1" x14ac:dyDescent="0.25">
      <c r="A973" t="str">
        <f t="shared" si="32"/>
        <v/>
      </c>
      <c r="N973" s="2" t="str">
        <f t="shared" si="33"/>
        <v/>
      </c>
    </row>
    <row r="974" spans="1:14" ht="39" customHeight="1" x14ac:dyDescent="0.25">
      <c r="A974" t="str">
        <f t="shared" si="32"/>
        <v/>
      </c>
      <c r="N974" s="2" t="str">
        <f t="shared" si="33"/>
        <v/>
      </c>
    </row>
    <row r="975" spans="1:14" ht="39" customHeight="1" x14ac:dyDescent="0.25">
      <c r="A975" t="str">
        <f t="shared" si="32"/>
        <v/>
      </c>
      <c r="N975" s="2" t="str">
        <f t="shared" si="33"/>
        <v/>
      </c>
    </row>
    <row r="976" spans="1:14" ht="39" customHeight="1" x14ac:dyDescent="0.25">
      <c r="A976" t="str">
        <f t="shared" si="32"/>
        <v/>
      </c>
      <c r="N976" s="2" t="str">
        <f t="shared" si="33"/>
        <v/>
      </c>
    </row>
    <row r="977" spans="1:14" ht="39" customHeight="1" x14ac:dyDescent="0.25">
      <c r="A977" t="str">
        <f t="shared" si="32"/>
        <v/>
      </c>
      <c r="N977" s="2" t="str">
        <f t="shared" si="33"/>
        <v/>
      </c>
    </row>
    <row r="978" spans="1:14" ht="39" customHeight="1" x14ac:dyDescent="0.25">
      <c r="A978" t="str">
        <f t="shared" si="32"/>
        <v/>
      </c>
      <c r="N978" s="2" t="str">
        <f t="shared" si="33"/>
        <v/>
      </c>
    </row>
    <row r="979" spans="1:14" ht="39" customHeight="1" x14ac:dyDescent="0.25">
      <c r="A979" t="str">
        <f t="shared" si="32"/>
        <v/>
      </c>
      <c r="N979" s="2" t="str">
        <f t="shared" si="33"/>
        <v/>
      </c>
    </row>
    <row r="980" spans="1:14" ht="39" customHeight="1" x14ac:dyDescent="0.25">
      <c r="A980" t="str">
        <f t="shared" si="32"/>
        <v/>
      </c>
      <c r="N980" s="2" t="str">
        <f t="shared" si="33"/>
        <v/>
      </c>
    </row>
    <row r="981" spans="1:14" ht="39" customHeight="1" x14ac:dyDescent="0.25">
      <c r="A981" t="str">
        <f t="shared" si="32"/>
        <v/>
      </c>
      <c r="N981" s="2" t="str">
        <f t="shared" si="33"/>
        <v/>
      </c>
    </row>
    <row r="982" spans="1:14" ht="39" customHeight="1" x14ac:dyDescent="0.25">
      <c r="A982" t="str">
        <f t="shared" si="32"/>
        <v/>
      </c>
      <c r="N982" s="2" t="str">
        <f t="shared" si="33"/>
        <v/>
      </c>
    </row>
    <row r="983" spans="1:14" ht="39" customHeight="1" x14ac:dyDescent="0.25">
      <c r="A983" t="str">
        <f t="shared" si="32"/>
        <v/>
      </c>
      <c r="N983" s="2" t="str">
        <f t="shared" si="33"/>
        <v/>
      </c>
    </row>
    <row r="984" spans="1:14" ht="39" customHeight="1" x14ac:dyDescent="0.25">
      <c r="A984" t="str">
        <f t="shared" si="32"/>
        <v/>
      </c>
      <c r="N984" s="2" t="str">
        <f t="shared" si="33"/>
        <v/>
      </c>
    </row>
    <row r="985" spans="1:14" ht="39" customHeight="1" x14ac:dyDescent="0.25">
      <c r="A985" t="str">
        <f t="shared" si="32"/>
        <v/>
      </c>
      <c r="N985" s="2" t="str">
        <f t="shared" si="33"/>
        <v/>
      </c>
    </row>
    <row r="986" spans="1:14" ht="39" customHeight="1" x14ac:dyDescent="0.25">
      <c r="A986" t="str">
        <f t="shared" si="32"/>
        <v/>
      </c>
      <c r="N986" s="2" t="str">
        <f t="shared" si="33"/>
        <v/>
      </c>
    </row>
    <row r="987" spans="1:14" ht="39" customHeight="1" x14ac:dyDescent="0.25">
      <c r="A987" t="str">
        <f t="shared" si="32"/>
        <v/>
      </c>
      <c r="N987" s="2" t="str">
        <f t="shared" si="33"/>
        <v/>
      </c>
    </row>
    <row r="988" spans="1:14" ht="39" customHeight="1" x14ac:dyDescent="0.25">
      <c r="A988" t="str">
        <f t="shared" si="32"/>
        <v/>
      </c>
      <c r="N988" s="2" t="str">
        <f t="shared" si="33"/>
        <v/>
      </c>
    </row>
    <row r="989" spans="1:14" ht="39" customHeight="1" x14ac:dyDescent="0.25">
      <c r="A989" t="str">
        <f t="shared" si="32"/>
        <v/>
      </c>
      <c r="N989" s="2" t="str">
        <f t="shared" si="33"/>
        <v/>
      </c>
    </row>
    <row r="990" spans="1:14" ht="39" customHeight="1" x14ac:dyDescent="0.25">
      <c r="A990" t="str">
        <f t="shared" si="32"/>
        <v/>
      </c>
      <c r="N990" s="2" t="str">
        <f t="shared" si="33"/>
        <v/>
      </c>
    </row>
    <row r="991" spans="1:14" ht="39" customHeight="1" x14ac:dyDescent="0.25">
      <c r="A991" t="str">
        <f t="shared" ref="A991:A1054" si="34">E953&amp;H953</f>
        <v/>
      </c>
      <c r="N991" s="2" t="str">
        <f t="shared" si="33"/>
        <v/>
      </c>
    </row>
    <row r="992" spans="1:14" ht="39" customHeight="1" x14ac:dyDescent="0.25">
      <c r="A992" t="str">
        <f t="shared" si="34"/>
        <v/>
      </c>
      <c r="N992" s="2" t="str">
        <f t="shared" si="33"/>
        <v/>
      </c>
    </row>
    <row r="993" spans="1:14" ht="39" customHeight="1" x14ac:dyDescent="0.25">
      <c r="A993" t="str">
        <f t="shared" si="34"/>
        <v/>
      </c>
      <c r="N993" s="2" t="str">
        <f t="shared" si="33"/>
        <v/>
      </c>
    </row>
    <row r="994" spans="1:14" ht="39" customHeight="1" x14ac:dyDescent="0.25">
      <c r="A994" t="str">
        <f t="shared" si="34"/>
        <v/>
      </c>
      <c r="N994" s="2" t="str">
        <f t="shared" si="33"/>
        <v/>
      </c>
    </row>
    <row r="995" spans="1:14" ht="39" customHeight="1" x14ac:dyDescent="0.25">
      <c r="A995" t="str">
        <f t="shared" si="34"/>
        <v/>
      </c>
      <c r="N995" s="2" t="str">
        <f t="shared" si="33"/>
        <v/>
      </c>
    </row>
    <row r="996" spans="1:14" ht="39" customHeight="1" x14ac:dyDescent="0.25">
      <c r="A996" t="str">
        <f t="shared" si="34"/>
        <v/>
      </c>
      <c r="N996" s="2" t="str">
        <f t="shared" si="33"/>
        <v/>
      </c>
    </row>
    <row r="997" spans="1:14" ht="39" customHeight="1" x14ac:dyDescent="0.25">
      <c r="A997" t="str">
        <f t="shared" si="34"/>
        <v/>
      </c>
      <c r="N997" s="2" t="str">
        <f t="shared" si="33"/>
        <v/>
      </c>
    </row>
    <row r="998" spans="1:14" ht="39" customHeight="1" x14ac:dyDescent="0.25">
      <c r="A998" t="str">
        <f t="shared" si="34"/>
        <v/>
      </c>
      <c r="N998" s="2" t="str">
        <f t="shared" si="33"/>
        <v/>
      </c>
    </row>
    <row r="999" spans="1:14" ht="39" customHeight="1" x14ac:dyDescent="0.25">
      <c r="A999" t="str">
        <f t="shared" si="34"/>
        <v/>
      </c>
      <c r="N999" s="2" t="str">
        <f t="shared" si="33"/>
        <v/>
      </c>
    </row>
    <row r="1000" spans="1:14" ht="39" customHeight="1" x14ac:dyDescent="0.25">
      <c r="A1000" t="str">
        <f t="shared" si="34"/>
        <v/>
      </c>
      <c r="N1000" s="2" t="str">
        <f t="shared" si="33"/>
        <v/>
      </c>
    </row>
    <row r="1001" spans="1:14" ht="39" customHeight="1" x14ac:dyDescent="0.25">
      <c r="A1001" t="str">
        <f t="shared" si="34"/>
        <v/>
      </c>
      <c r="N1001" s="2" t="str">
        <f t="shared" si="33"/>
        <v/>
      </c>
    </row>
    <row r="1002" spans="1:14" ht="39" customHeight="1" x14ac:dyDescent="0.25">
      <c r="A1002" t="str">
        <f t="shared" si="34"/>
        <v/>
      </c>
      <c r="N1002" s="2" t="str">
        <f t="shared" si="33"/>
        <v/>
      </c>
    </row>
    <row r="1003" spans="1:14" ht="39" customHeight="1" x14ac:dyDescent="0.25">
      <c r="A1003" t="str">
        <f t="shared" si="34"/>
        <v/>
      </c>
      <c r="N1003" s="2" t="str">
        <f t="shared" si="33"/>
        <v/>
      </c>
    </row>
    <row r="1004" spans="1:14" ht="39" customHeight="1" x14ac:dyDescent="0.25">
      <c r="A1004" t="str">
        <f t="shared" si="34"/>
        <v/>
      </c>
      <c r="N1004" s="2" t="str">
        <f t="shared" si="33"/>
        <v/>
      </c>
    </row>
    <row r="1005" spans="1:14" ht="39" customHeight="1" x14ac:dyDescent="0.25">
      <c r="A1005" t="str">
        <f t="shared" si="34"/>
        <v/>
      </c>
      <c r="N1005" s="2" t="str">
        <f t="shared" si="33"/>
        <v/>
      </c>
    </row>
    <row r="1006" spans="1:14" ht="39" customHeight="1" x14ac:dyDescent="0.25">
      <c r="A1006" t="str">
        <f t="shared" si="34"/>
        <v/>
      </c>
      <c r="N1006" s="2" t="str">
        <f t="shared" si="33"/>
        <v/>
      </c>
    </row>
    <row r="1007" spans="1:14" ht="39" customHeight="1" x14ac:dyDescent="0.25">
      <c r="A1007" t="str">
        <f t="shared" si="34"/>
        <v/>
      </c>
      <c r="N1007" s="2" t="str">
        <f t="shared" si="33"/>
        <v/>
      </c>
    </row>
    <row r="1008" spans="1:14" ht="39" customHeight="1" x14ac:dyDescent="0.25">
      <c r="A1008" t="str">
        <f t="shared" si="34"/>
        <v/>
      </c>
      <c r="N1008" s="2" t="str">
        <f t="shared" si="33"/>
        <v/>
      </c>
    </row>
    <row r="1009" spans="1:14" ht="39" customHeight="1" x14ac:dyDescent="0.25">
      <c r="A1009" t="str">
        <f t="shared" si="34"/>
        <v/>
      </c>
      <c r="N1009" s="2" t="str">
        <f t="shared" si="33"/>
        <v/>
      </c>
    </row>
    <row r="1010" spans="1:14" ht="39" customHeight="1" x14ac:dyDescent="0.25">
      <c r="A1010" t="str">
        <f t="shared" si="34"/>
        <v/>
      </c>
      <c r="N1010" s="2" t="str">
        <f t="shared" si="33"/>
        <v/>
      </c>
    </row>
    <row r="1011" spans="1:14" ht="39" customHeight="1" x14ac:dyDescent="0.25">
      <c r="A1011" t="str">
        <f t="shared" si="34"/>
        <v/>
      </c>
      <c r="N1011" s="2" t="str">
        <f t="shared" si="33"/>
        <v/>
      </c>
    </row>
    <row r="1012" spans="1:14" ht="39" customHeight="1" x14ac:dyDescent="0.25">
      <c r="A1012" t="str">
        <f t="shared" si="34"/>
        <v/>
      </c>
      <c r="N1012" s="2" t="str">
        <f t="shared" si="33"/>
        <v/>
      </c>
    </row>
    <row r="1013" spans="1:14" ht="39" customHeight="1" x14ac:dyDescent="0.25">
      <c r="A1013" t="str">
        <f t="shared" si="34"/>
        <v/>
      </c>
      <c r="N1013" s="2" t="str">
        <f t="shared" si="33"/>
        <v/>
      </c>
    </row>
    <row r="1014" spans="1:14" ht="39" customHeight="1" x14ac:dyDescent="0.25">
      <c r="A1014" t="str">
        <f t="shared" si="34"/>
        <v/>
      </c>
      <c r="N1014" s="2" t="str">
        <f t="shared" si="33"/>
        <v/>
      </c>
    </row>
    <row r="1015" spans="1:14" ht="39" customHeight="1" x14ac:dyDescent="0.25">
      <c r="A1015" t="str">
        <f t="shared" si="34"/>
        <v/>
      </c>
      <c r="N1015" s="2" t="str">
        <f t="shared" si="33"/>
        <v/>
      </c>
    </row>
    <row r="1016" spans="1:14" ht="39" customHeight="1" x14ac:dyDescent="0.25">
      <c r="A1016" t="str">
        <f t="shared" si="34"/>
        <v/>
      </c>
      <c r="N1016" s="2" t="str">
        <f t="shared" si="33"/>
        <v/>
      </c>
    </row>
    <row r="1017" spans="1:14" ht="39" customHeight="1" x14ac:dyDescent="0.25">
      <c r="A1017" t="str">
        <f t="shared" si="34"/>
        <v/>
      </c>
      <c r="N1017" s="2" t="str">
        <f t="shared" ref="N1017:N1080" si="35">IFERROR(((I1017*100)/H1017)-100,"")</f>
        <v/>
      </c>
    </row>
    <row r="1018" spans="1:14" ht="39" customHeight="1" x14ac:dyDescent="0.25">
      <c r="A1018" t="str">
        <f t="shared" si="34"/>
        <v/>
      </c>
      <c r="N1018" s="2" t="str">
        <f t="shared" si="35"/>
        <v/>
      </c>
    </row>
    <row r="1019" spans="1:14" ht="39" customHeight="1" x14ac:dyDescent="0.25">
      <c r="A1019" t="str">
        <f t="shared" si="34"/>
        <v/>
      </c>
      <c r="N1019" s="2" t="str">
        <f t="shared" si="35"/>
        <v/>
      </c>
    </row>
    <row r="1020" spans="1:14" ht="39" customHeight="1" x14ac:dyDescent="0.25">
      <c r="A1020" t="str">
        <f t="shared" si="34"/>
        <v/>
      </c>
      <c r="N1020" s="2" t="str">
        <f t="shared" si="35"/>
        <v/>
      </c>
    </row>
    <row r="1021" spans="1:14" ht="39" customHeight="1" x14ac:dyDescent="0.25">
      <c r="A1021" t="str">
        <f t="shared" si="34"/>
        <v/>
      </c>
      <c r="N1021" s="2" t="str">
        <f t="shared" si="35"/>
        <v/>
      </c>
    </row>
    <row r="1022" spans="1:14" ht="39" customHeight="1" x14ac:dyDescent="0.25">
      <c r="A1022" t="str">
        <f t="shared" si="34"/>
        <v/>
      </c>
      <c r="N1022" s="2" t="str">
        <f t="shared" si="35"/>
        <v/>
      </c>
    </row>
    <row r="1023" spans="1:14" ht="39" customHeight="1" x14ac:dyDescent="0.25">
      <c r="A1023" t="str">
        <f t="shared" si="34"/>
        <v/>
      </c>
      <c r="N1023" s="2" t="str">
        <f t="shared" si="35"/>
        <v/>
      </c>
    </row>
    <row r="1024" spans="1:14" ht="39" customHeight="1" x14ac:dyDescent="0.25">
      <c r="A1024" t="str">
        <f t="shared" si="34"/>
        <v/>
      </c>
      <c r="N1024" s="2" t="str">
        <f t="shared" si="35"/>
        <v/>
      </c>
    </row>
    <row r="1025" spans="1:14" ht="39" customHeight="1" x14ac:dyDescent="0.25">
      <c r="A1025" t="str">
        <f t="shared" si="34"/>
        <v/>
      </c>
      <c r="N1025" s="2" t="str">
        <f t="shared" si="35"/>
        <v/>
      </c>
    </row>
    <row r="1026" spans="1:14" ht="39" customHeight="1" x14ac:dyDescent="0.25">
      <c r="A1026" t="str">
        <f t="shared" si="34"/>
        <v/>
      </c>
      <c r="N1026" s="2" t="str">
        <f t="shared" si="35"/>
        <v/>
      </c>
    </row>
    <row r="1027" spans="1:14" ht="39" customHeight="1" x14ac:dyDescent="0.25">
      <c r="A1027" t="str">
        <f t="shared" si="34"/>
        <v/>
      </c>
      <c r="N1027" s="2" t="str">
        <f t="shared" si="35"/>
        <v/>
      </c>
    </row>
    <row r="1028" spans="1:14" ht="39" customHeight="1" x14ac:dyDescent="0.25">
      <c r="A1028" t="str">
        <f t="shared" si="34"/>
        <v/>
      </c>
      <c r="N1028" s="2" t="str">
        <f t="shared" si="35"/>
        <v/>
      </c>
    </row>
    <row r="1029" spans="1:14" ht="39" customHeight="1" x14ac:dyDescent="0.25">
      <c r="A1029" t="str">
        <f t="shared" si="34"/>
        <v/>
      </c>
      <c r="N1029" s="2" t="str">
        <f t="shared" si="35"/>
        <v/>
      </c>
    </row>
    <row r="1030" spans="1:14" ht="39" customHeight="1" x14ac:dyDescent="0.25">
      <c r="A1030" t="str">
        <f t="shared" si="34"/>
        <v/>
      </c>
      <c r="N1030" s="2" t="str">
        <f t="shared" si="35"/>
        <v/>
      </c>
    </row>
    <row r="1031" spans="1:14" ht="39" customHeight="1" x14ac:dyDescent="0.25">
      <c r="A1031" t="str">
        <f t="shared" si="34"/>
        <v/>
      </c>
      <c r="N1031" s="2" t="str">
        <f t="shared" si="35"/>
        <v/>
      </c>
    </row>
    <row r="1032" spans="1:14" ht="39" customHeight="1" x14ac:dyDescent="0.25">
      <c r="A1032" t="str">
        <f t="shared" si="34"/>
        <v/>
      </c>
      <c r="N1032" s="2" t="str">
        <f t="shared" si="35"/>
        <v/>
      </c>
    </row>
    <row r="1033" spans="1:14" ht="39" customHeight="1" x14ac:dyDescent="0.25">
      <c r="A1033" t="str">
        <f t="shared" si="34"/>
        <v/>
      </c>
      <c r="N1033" s="2" t="str">
        <f t="shared" si="35"/>
        <v/>
      </c>
    </row>
    <row r="1034" spans="1:14" ht="39" customHeight="1" x14ac:dyDescent="0.25">
      <c r="A1034" t="str">
        <f t="shared" si="34"/>
        <v/>
      </c>
      <c r="N1034" s="2" t="str">
        <f t="shared" si="35"/>
        <v/>
      </c>
    </row>
    <row r="1035" spans="1:14" ht="39" customHeight="1" x14ac:dyDescent="0.25">
      <c r="A1035" t="str">
        <f t="shared" si="34"/>
        <v/>
      </c>
      <c r="N1035" s="2" t="str">
        <f t="shared" si="35"/>
        <v/>
      </c>
    </row>
    <row r="1036" spans="1:14" ht="39" customHeight="1" x14ac:dyDescent="0.25">
      <c r="A1036" t="str">
        <f t="shared" si="34"/>
        <v/>
      </c>
      <c r="N1036" s="2" t="str">
        <f t="shared" si="35"/>
        <v/>
      </c>
    </row>
    <row r="1037" spans="1:14" ht="39" customHeight="1" x14ac:dyDescent="0.25">
      <c r="A1037" t="str">
        <f t="shared" si="34"/>
        <v/>
      </c>
      <c r="N1037" s="2" t="str">
        <f t="shared" si="35"/>
        <v/>
      </c>
    </row>
    <row r="1038" spans="1:14" ht="39" customHeight="1" x14ac:dyDescent="0.25">
      <c r="A1038" t="str">
        <f t="shared" si="34"/>
        <v/>
      </c>
      <c r="N1038" s="2" t="str">
        <f t="shared" si="35"/>
        <v/>
      </c>
    </row>
    <row r="1039" spans="1:14" ht="39" customHeight="1" x14ac:dyDescent="0.25">
      <c r="A1039" t="str">
        <f t="shared" si="34"/>
        <v/>
      </c>
      <c r="N1039" s="2" t="str">
        <f t="shared" si="35"/>
        <v/>
      </c>
    </row>
    <row r="1040" spans="1:14" ht="39" customHeight="1" x14ac:dyDescent="0.25">
      <c r="A1040" t="str">
        <f t="shared" si="34"/>
        <v/>
      </c>
      <c r="N1040" s="2" t="str">
        <f t="shared" si="35"/>
        <v/>
      </c>
    </row>
    <row r="1041" spans="1:14" ht="39" customHeight="1" x14ac:dyDescent="0.25">
      <c r="A1041" t="str">
        <f t="shared" si="34"/>
        <v/>
      </c>
      <c r="N1041" s="2" t="str">
        <f t="shared" si="35"/>
        <v/>
      </c>
    </row>
    <row r="1042" spans="1:14" ht="39" customHeight="1" x14ac:dyDescent="0.25">
      <c r="A1042" t="str">
        <f t="shared" si="34"/>
        <v/>
      </c>
      <c r="N1042" s="2" t="str">
        <f t="shared" si="35"/>
        <v/>
      </c>
    </row>
    <row r="1043" spans="1:14" ht="39" customHeight="1" x14ac:dyDescent="0.25">
      <c r="A1043" t="str">
        <f t="shared" si="34"/>
        <v/>
      </c>
      <c r="N1043" s="2" t="str">
        <f t="shared" si="35"/>
        <v/>
      </c>
    </row>
    <row r="1044" spans="1:14" ht="39" customHeight="1" x14ac:dyDescent="0.25">
      <c r="A1044" t="str">
        <f t="shared" si="34"/>
        <v/>
      </c>
      <c r="N1044" s="2" t="str">
        <f t="shared" si="35"/>
        <v/>
      </c>
    </row>
    <row r="1045" spans="1:14" ht="39" customHeight="1" x14ac:dyDescent="0.25">
      <c r="A1045" t="str">
        <f t="shared" si="34"/>
        <v/>
      </c>
      <c r="N1045" s="2" t="str">
        <f t="shared" si="35"/>
        <v/>
      </c>
    </row>
    <row r="1046" spans="1:14" ht="39" customHeight="1" x14ac:dyDescent="0.25">
      <c r="A1046" t="str">
        <f t="shared" si="34"/>
        <v/>
      </c>
      <c r="N1046" s="2" t="str">
        <f t="shared" si="35"/>
        <v/>
      </c>
    </row>
    <row r="1047" spans="1:14" ht="39" customHeight="1" x14ac:dyDescent="0.25">
      <c r="A1047" t="str">
        <f t="shared" si="34"/>
        <v/>
      </c>
      <c r="N1047" s="2" t="str">
        <f t="shared" si="35"/>
        <v/>
      </c>
    </row>
    <row r="1048" spans="1:14" ht="39" customHeight="1" x14ac:dyDescent="0.25">
      <c r="A1048" t="str">
        <f t="shared" si="34"/>
        <v/>
      </c>
      <c r="N1048" s="2" t="str">
        <f t="shared" si="35"/>
        <v/>
      </c>
    </row>
    <row r="1049" spans="1:14" ht="39" customHeight="1" x14ac:dyDescent="0.25">
      <c r="A1049" t="str">
        <f t="shared" si="34"/>
        <v/>
      </c>
      <c r="N1049" s="2" t="str">
        <f t="shared" si="35"/>
        <v/>
      </c>
    </row>
    <row r="1050" spans="1:14" ht="39" customHeight="1" x14ac:dyDescent="0.25">
      <c r="A1050" t="str">
        <f t="shared" si="34"/>
        <v/>
      </c>
      <c r="N1050" s="2" t="str">
        <f t="shared" si="35"/>
        <v/>
      </c>
    </row>
    <row r="1051" spans="1:14" ht="39" customHeight="1" x14ac:dyDescent="0.25">
      <c r="A1051" t="str">
        <f t="shared" si="34"/>
        <v/>
      </c>
      <c r="N1051" s="2" t="str">
        <f t="shared" si="35"/>
        <v/>
      </c>
    </row>
    <row r="1052" spans="1:14" ht="39" customHeight="1" x14ac:dyDescent="0.25">
      <c r="A1052" t="str">
        <f t="shared" si="34"/>
        <v/>
      </c>
      <c r="N1052" s="2" t="str">
        <f t="shared" si="35"/>
        <v/>
      </c>
    </row>
    <row r="1053" spans="1:14" ht="39" customHeight="1" x14ac:dyDescent="0.25">
      <c r="A1053" t="str">
        <f t="shared" si="34"/>
        <v/>
      </c>
      <c r="N1053" s="2" t="str">
        <f t="shared" si="35"/>
        <v/>
      </c>
    </row>
    <row r="1054" spans="1:14" ht="39" customHeight="1" x14ac:dyDescent="0.25">
      <c r="A1054" t="str">
        <f t="shared" si="34"/>
        <v/>
      </c>
      <c r="N1054" s="2" t="str">
        <f t="shared" si="35"/>
        <v/>
      </c>
    </row>
    <row r="1055" spans="1:14" ht="39" customHeight="1" x14ac:dyDescent="0.25">
      <c r="A1055" t="str">
        <f t="shared" ref="A1055:A1118" si="36">E1017&amp;H1017</f>
        <v/>
      </c>
      <c r="N1055" s="2" t="str">
        <f t="shared" si="35"/>
        <v/>
      </c>
    </row>
    <row r="1056" spans="1:14" ht="39" customHeight="1" x14ac:dyDescent="0.25">
      <c r="A1056" t="str">
        <f t="shared" si="36"/>
        <v/>
      </c>
      <c r="N1056" s="2" t="str">
        <f t="shared" si="35"/>
        <v/>
      </c>
    </row>
    <row r="1057" spans="1:14" ht="39" customHeight="1" x14ac:dyDescent="0.25">
      <c r="A1057" t="str">
        <f t="shared" si="36"/>
        <v/>
      </c>
      <c r="N1057" s="2" t="str">
        <f t="shared" si="35"/>
        <v/>
      </c>
    </row>
    <row r="1058" spans="1:14" ht="39" customHeight="1" x14ac:dyDescent="0.25">
      <c r="A1058" t="str">
        <f t="shared" si="36"/>
        <v/>
      </c>
      <c r="N1058" s="2" t="str">
        <f t="shared" si="35"/>
        <v/>
      </c>
    </row>
    <row r="1059" spans="1:14" ht="39" customHeight="1" x14ac:dyDescent="0.25">
      <c r="A1059" t="str">
        <f t="shared" si="36"/>
        <v/>
      </c>
      <c r="N1059" s="2" t="str">
        <f t="shared" si="35"/>
        <v/>
      </c>
    </row>
    <row r="1060" spans="1:14" ht="39" customHeight="1" x14ac:dyDescent="0.25">
      <c r="A1060" t="str">
        <f t="shared" si="36"/>
        <v/>
      </c>
      <c r="N1060" s="2" t="str">
        <f t="shared" si="35"/>
        <v/>
      </c>
    </row>
    <row r="1061" spans="1:14" ht="39" customHeight="1" x14ac:dyDescent="0.25">
      <c r="A1061" t="str">
        <f t="shared" si="36"/>
        <v/>
      </c>
      <c r="N1061" s="2" t="str">
        <f t="shared" si="35"/>
        <v/>
      </c>
    </row>
    <row r="1062" spans="1:14" ht="39" customHeight="1" x14ac:dyDescent="0.25">
      <c r="A1062" t="str">
        <f t="shared" si="36"/>
        <v/>
      </c>
      <c r="N1062" s="2" t="str">
        <f t="shared" si="35"/>
        <v/>
      </c>
    </row>
    <row r="1063" spans="1:14" ht="39" customHeight="1" x14ac:dyDescent="0.25">
      <c r="A1063" t="str">
        <f t="shared" si="36"/>
        <v/>
      </c>
      <c r="N1063" s="2" t="str">
        <f t="shared" si="35"/>
        <v/>
      </c>
    </row>
    <row r="1064" spans="1:14" ht="39" customHeight="1" x14ac:dyDescent="0.25">
      <c r="A1064" t="str">
        <f t="shared" si="36"/>
        <v/>
      </c>
      <c r="N1064" s="2" t="str">
        <f t="shared" si="35"/>
        <v/>
      </c>
    </row>
    <row r="1065" spans="1:14" ht="39" customHeight="1" x14ac:dyDescent="0.25">
      <c r="A1065" t="str">
        <f t="shared" si="36"/>
        <v/>
      </c>
      <c r="N1065" s="2" t="str">
        <f t="shared" si="35"/>
        <v/>
      </c>
    </row>
    <row r="1066" spans="1:14" ht="39" customHeight="1" x14ac:dyDescent="0.25">
      <c r="A1066" t="str">
        <f t="shared" si="36"/>
        <v/>
      </c>
      <c r="N1066" s="2" t="str">
        <f t="shared" si="35"/>
        <v/>
      </c>
    </row>
    <row r="1067" spans="1:14" ht="39" customHeight="1" x14ac:dyDescent="0.25">
      <c r="A1067" t="str">
        <f t="shared" si="36"/>
        <v/>
      </c>
      <c r="N1067" s="2" t="str">
        <f t="shared" si="35"/>
        <v/>
      </c>
    </row>
    <row r="1068" spans="1:14" ht="39" customHeight="1" x14ac:dyDescent="0.25">
      <c r="A1068" t="str">
        <f t="shared" si="36"/>
        <v/>
      </c>
      <c r="N1068" s="2" t="str">
        <f t="shared" si="35"/>
        <v/>
      </c>
    </row>
    <row r="1069" spans="1:14" ht="39" customHeight="1" x14ac:dyDescent="0.25">
      <c r="A1069" t="str">
        <f t="shared" si="36"/>
        <v/>
      </c>
      <c r="N1069" s="2" t="str">
        <f t="shared" si="35"/>
        <v/>
      </c>
    </row>
    <row r="1070" spans="1:14" ht="39" customHeight="1" x14ac:dyDescent="0.25">
      <c r="A1070" t="str">
        <f t="shared" si="36"/>
        <v/>
      </c>
      <c r="N1070" s="2" t="str">
        <f t="shared" si="35"/>
        <v/>
      </c>
    </row>
    <row r="1071" spans="1:14" ht="39" customHeight="1" x14ac:dyDescent="0.25">
      <c r="A1071" t="str">
        <f t="shared" si="36"/>
        <v/>
      </c>
      <c r="N1071" s="2" t="str">
        <f t="shared" si="35"/>
        <v/>
      </c>
    </row>
    <row r="1072" spans="1:14" ht="39" customHeight="1" x14ac:dyDescent="0.25">
      <c r="A1072" t="str">
        <f t="shared" si="36"/>
        <v/>
      </c>
      <c r="N1072" s="2" t="str">
        <f t="shared" si="35"/>
        <v/>
      </c>
    </row>
    <row r="1073" spans="1:14" ht="39" customHeight="1" x14ac:dyDescent="0.25">
      <c r="A1073" t="str">
        <f t="shared" si="36"/>
        <v/>
      </c>
      <c r="N1073" s="2" t="str">
        <f t="shared" si="35"/>
        <v/>
      </c>
    </row>
    <row r="1074" spans="1:14" ht="39" customHeight="1" x14ac:dyDescent="0.25">
      <c r="A1074" t="str">
        <f t="shared" si="36"/>
        <v/>
      </c>
      <c r="N1074" s="2" t="str">
        <f t="shared" si="35"/>
        <v/>
      </c>
    </row>
    <row r="1075" spans="1:14" ht="39" customHeight="1" x14ac:dyDescent="0.25">
      <c r="A1075" t="str">
        <f t="shared" si="36"/>
        <v/>
      </c>
      <c r="N1075" s="2" t="str">
        <f t="shared" si="35"/>
        <v/>
      </c>
    </row>
    <row r="1076" spans="1:14" ht="39" customHeight="1" x14ac:dyDescent="0.25">
      <c r="A1076" t="str">
        <f t="shared" si="36"/>
        <v/>
      </c>
      <c r="N1076" s="2" t="str">
        <f t="shared" si="35"/>
        <v/>
      </c>
    </row>
    <row r="1077" spans="1:14" ht="39" customHeight="1" x14ac:dyDescent="0.25">
      <c r="A1077" t="str">
        <f t="shared" si="36"/>
        <v/>
      </c>
      <c r="N1077" s="2" t="str">
        <f t="shared" si="35"/>
        <v/>
      </c>
    </row>
    <row r="1078" spans="1:14" ht="39" customHeight="1" x14ac:dyDescent="0.25">
      <c r="A1078" t="str">
        <f t="shared" si="36"/>
        <v/>
      </c>
      <c r="N1078" s="2" t="str">
        <f t="shared" si="35"/>
        <v/>
      </c>
    </row>
    <row r="1079" spans="1:14" ht="39" customHeight="1" x14ac:dyDescent="0.25">
      <c r="A1079" t="str">
        <f t="shared" si="36"/>
        <v/>
      </c>
      <c r="N1079" s="2" t="str">
        <f t="shared" si="35"/>
        <v/>
      </c>
    </row>
    <row r="1080" spans="1:14" ht="39" customHeight="1" x14ac:dyDescent="0.25">
      <c r="A1080" t="str">
        <f t="shared" si="36"/>
        <v/>
      </c>
      <c r="N1080" s="2" t="str">
        <f t="shared" si="35"/>
        <v/>
      </c>
    </row>
    <row r="1081" spans="1:14" ht="39" customHeight="1" x14ac:dyDescent="0.25">
      <c r="A1081" t="str">
        <f t="shared" si="36"/>
        <v/>
      </c>
      <c r="N1081" s="2" t="str">
        <f t="shared" ref="N1081:N1144" si="37">IFERROR(((I1081*100)/H1081)-100,"")</f>
        <v/>
      </c>
    </row>
    <row r="1082" spans="1:14" ht="39" customHeight="1" x14ac:dyDescent="0.25">
      <c r="A1082" t="str">
        <f t="shared" si="36"/>
        <v/>
      </c>
      <c r="N1082" s="2" t="str">
        <f t="shared" si="37"/>
        <v/>
      </c>
    </row>
    <row r="1083" spans="1:14" ht="39" customHeight="1" x14ac:dyDescent="0.25">
      <c r="A1083" t="str">
        <f t="shared" si="36"/>
        <v/>
      </c>
      <c r="N1083" s="2" t="str">
        <f t="shared" si="37"/>
        <v/>
      </c>
    </row>
    <row r="1084" spans="1:14" ht="39" customHeight="1" x14ac:dyDescent="0.25">
      <c r="A1084" t="str">
        <f t="shared" si="36"/>
        <v/>
      </c>
      <c r="N1084" s="2" t="str">
        <f t="shared" si="37"/>
        <v/>
      </c>
    </row>
    <row r="1085" spans="1:14" ht="39" customHeight="1" x14ac:dyDescent="0.25">
      <c r="A1085" t="str">
        <f t="shared" si="36"/>
        <v/>
      </c>
      <c r="N1085" s="2" t="str">
        <f t="shared" si="37"/>
        <v/>
      </c>
    </row>
    <row r="1086" spans="1:14" ht="39" customHeight="1" x14ac:dyDescent="0.25">
      <c r="A1086" t="str">
        <f t="shared" si="36"/>
        <v/>
      </c>
      <c r="N1086" s="2" t="str">
        <f t="shared" si="37"/>
        <v/>
      </c>
    </row>
    <row r="1087" spans="1:14" ht="39" customHeight="1" x14ac:dyDescent="0.25">
      <c r="A1087" t="str">
        <f t="shared" si="36"/>
        <v/>
      </c>
      <c r="N1087" s="2" t="str">
        <f t="shared" si="37"/>
        <v/>
      </c>
    </row>
    <row r="1088" spans="1:14" ht="39" customHeight="1" x14ac:dyDescent="0.25">
      <c r="A1088" t="str">
        <f t="shared" si="36"/>
        <v/>
      </c>
      <c r="N1088" s="2" t="str">
        <f t="shared" si="37"/>
        <v/>
      </c>
    </row>
    <row r="1089" spans="1:14" ht="39" customHeight="1" x14ac:dyDescent="0.25">
      <c r="A1089" t="str">
        <f t="shared" si="36"/>
        <v/>
      </c>
      <c r="N1089" s="2" t="str">
        <f t="shared" si="37"/>
        <v/>
      </c>
    </row>
    <row r="1090" spans="1:14" ht="39" customHeight="1" x14ac:dyDescent="0.25">
      <c r="A1090" t="str">
        <f t="shared" si="36"/>
        <v/>
      </c>
      <c r="N1090" s="2" t="str">
        <f t="shared" si="37"/>
        <v/>
      </c>
    </row>
    <row r="1091" spans="1:14" ht="39" customHeight="1" x14ac:dyDescent="0.25">
      <c r="A1091" t="str">
        <f t="shared" si="36"/>
        <v/>
      </c>
      <c r="N1091" s="2" t="str">
        <f t="shared" si="37"/>
        <v/>
      </c>
    </row>
    <row r="1092" spans="1:14" ht="39" customHeight="1" x14ac:dyDescent="0.25">
      <c r="A1092" t="str">
        <f t="shared" si="36"/>
        <v/>
      </c>
      <c r="N1092" s="2" t="str">
        <f t="shared" si="37"/>
        <v/>
      </c>
    </row>
    <row r="1093" spans="1:14" ht="39" customHeight="1" x14ac:dyDescent="0.25">
      <c r="A1093" t="str">
        <f t="shared" si="36"/>
        <v/>
      </c>
      <c r="N1093" s="2" t="str">
        <f t="shared" si="37"/>
        <v/>
      </c>
    </row>
    <row r="1094" spans="1:14" ht="39" customHeight="1" x14ac:dyDescent="0.25">
      <c r="A1094" t="str">
        <f t="shared" si="36"/>
        <v/>
      </c>
      <c r="N1094" s="2" t="str">
        <f t="shared" si="37"/>
        <v/>
      </c>
    </row>
    <row r="1095" spans="1:14" ht="39" customHeight="1" x14ac:dyDescent="0.25">
      <c r="A1095" t="str">
        <f t="shared" si="36"/>
        <v/>
      </c>
      <c r="N1095" s="2" t="str">
        <f t="shared" si="37"/>
        <v/>
      </c>
    </row>
    <row r="1096" spans="1:14" ht="39" customHeight="1" x14ac:dyDescent="0.25">
      <c r="A1096" t="str">
        <f t="shared" si="36"/>
        <v/>
      </c>
      <c r="N1096" s="2" t="str">
        <f t="shared" si="37"/>
        <v/>
      </c>
    </row>
    <row r="1097" spans="1:14" ht="39" customHeight="1" x14ac:dyDescent="0.25">
      <c r="A1097" t="str">
        <f t="shared" si="36"/>
        <v/>
      </c>
      <c r="N1097" s="2" t="str">
        <f t="shared" si="37"/>
        <v/>
      </c>
    </row>
    <row r="1098" spans="1:14" ht="39" customHeight="1" x14ac:dyDescent="0.25">
      <c r="A1098" t="str">
        <f t="shared" si="36"/>
        <v/>
      </c>
      <c r="N1098" s="2" t="str">
        <f t="shared" si="37"/>
        <v/>
      </c>
    </row>
    <row r="1099" spans="1:14" ht="39" customHeight="1" x14ac:dyDescent="0.25">
      <c r="A1099" t="str">
        <f t="shared" si="36"/>
        <v/>
      </c>
      <c r="N1099" s="2" t="str">
        <f t="shared" si="37"/>
        <v/>
      </c>
    </row>
    <row r="1100" spans="1:14" ht="39" customHeight="1" x14ac:dyDescent="0.25">
      <c r="A1100" t="str">
        <f t="shared" si="36"/>
        <v/>
      </c>
      <c r="N1100" s="2" t="str">
        <f t="shared" si="37"/>
        <v/>
      </c>
    </row>
    <row r="1101" spans="1:14" ht="39" customHeight="1" x14ac:dyDescent="0.25">
      <c r="A1101" t="str">
        <f t="shared" si="36"/>
        <v/>
      </c>
      <c r="N1101" s="2" t="str">
        <f t="shared" si="37"/>
        <v/>
      </c>
    </row>
    <row r="1102" spans="1:14" ht="39" customHeight="1" x14ac:dyDescent="0.25">
      <c r="A1102" t="str">
        <f t="shared" si="36"/>
        <v/>
      </c>
      <c r="N1102" s="2" t="str">
        <f t="shared" si="37"/>
        <v/>
      </c>
    </row>
    <row r="1103" spans="1:14" ht="39" customHeight="1" x14ac:dyDescent="0.25">
      <c r="A1103" t="str">
        <f t="shared" si="36"/>
        <v/>
      </c>
      <c r="N1103" s="2" t="str">
        <f t="shared" si="37"/>
        <v/>
      </c>
    </row>
    <row r="1104" spans="1:14" ht="39" customHeight="1" x14ac:dyDescent="0.25">
      <c r="A1104" t="str">
        <f t="shared" si="36"/>
        <v/>
      </c>
      <c r="N1104" s="2" t="str">
        <f t="shared" si="37"/>
        <v/>
      </c>
    </row>
    <row r="1105" spans="1:14" ht="39" customHeight="1" x14ac:dyDescent="0.25">
      <c r="A1105" t="str">
        <f t="shared" si="36"/>
        <v/>
      </c>
      <c r="N1105" s="2" t="str">
        <f t="shared" si="37"/>
        <v/>
      </c>
    </row>
    <row r="1106" spans="1:14" ht="39" customHeight="1" x14ac:dyDescent="0.25">
      <c r="A1106" t="str">
        <f t="shared" si="36"/>
        <v/>
      </c>
      <c r="N1106" s="2" t="str">
        <f t="shared" si="37"/>
        <v/>
      </c>
    </row>
    <row r="1107" spans="1:14" ht="39" customHeight="1" x14ac:dyDescent="0.25">
      <c r="A1107" t="str">
        <f t="shared" si="36"/>
        <v/>
      </c>
      <c r="N1107" s="2" t="str">
        <f t="shared" si="37"/>
        <v/>
      </c>
    </row>
    <row r="1108" spans="1:14" ht="39" customHeight="1" x14ac:dyDescent="0.25">
      <c r="A1108" t="str">
        <f t="shared" si="36"/>
        <v/>
      </c>
      <c r="N1108" s="2" t="str">
        <f t="shared" si="37"/>
        <v/>
      </c>
    </row>
    <row r="1109" spans="1:14" ht="39" customHeight="1" x14ac:dyDescent="0.25">
      <c r="A1109" t="str">
        <f t="shared" si="36"/>
        <v/>
      </c>
      <c r="N1109" s="2" t="str">
        <f t="shared" si="37"/>
        <v/>
      </c>
    </row>
    <row r="1110" spans="1:14" ht="39" customHeight="1" x14ac:dyDescent="0.25">
      <c r="A1110" t="str">
        <f t="shared" si="36"/>
        <v/>
      </c>
      <c r="N1110" s="2" t="str">
        <f t="shared" si="37"/>
        <v/>
      </c>
    </row>
    <row r="1111" spans="1:14" ht="39" customHeight="1" x14ac:dyDescent="0.25">
      <c r="A1111" t="str">
        <f t="shared" si="36"/>
        <v/>
      </c>
      <c r="N1111" s="2" t="str">
        <f t="shared" si="37"/>
        <v/>
      </c>
    </row>
    <row r="1112" spans="1:14" ht="39" customHeight="1" x14ac:dyDescent="0.25">
      <c r="A1112" t="str">
        <f t="shared" si="36"/>
        <v/>
      </c>
      <c r="N1112" s="2" t="str">
        <f t="shared" si="37"/>
        <v/>
      </c>
    </row>
    <row r="1113" spans="1:14" ht="39" customHeight="1" x14ac:dyDescent="0.25">
      <c r="A1113" t="str">
        <f t="shared" si="36"/>
        <v/>
      </c>
      <c r="N1113" s="2" t="str">
        <f t="shared" si="37"/>
        <v/>
      </c>
    </row>
    <row r="1114" spans="1:14" ht="39" customHeight="1" x14ac:dyDescent="0.25">
      <c r="A1114" t="str">
        <f t="shared" si="36"/>
        <v/>
      </c>
      <c r="N1114" s="2" t="str">
        <f t="shared" si="37"/>
        <v/>
      </c>
    </row>
    <row r="1115" spans="1:14" ht="39" customHeight="1" x14ac:dyDescent="0.25">
      <c r="A1115" t="str">
        <f t="shared" si="36"/>
        <v/>
      </c>
      <c r="N1115" s="2" t="str">
        <f t="shared" si="37"/>
        <v/>
      </c>
    </row>
    <row r="1116" spans="1:14" ht="39" customHeight="1" x14ac:dyDescent="0.25">
      <c r="A1116" t="str">
        <f t="shared" si="36"/>
        <v/>
      </c>
      <c r="N1116" s="2" t="str">
        <f t="shared" si="37"/>
        <v/>
      </c>
    </row>
    <row r="1117" spans="1:14" ht="39" customHeight="1" x14ac:dyDescent="0.25">
      <c r="A1117" t="str">
        <f t="shared" si="36"/>
        <v/>
      </c>
      <c r="N1117" s="2" t="str">
        <f t="shared" si="37"/>
        <v/>
      </c>
    </row>
    <row r="1118" spans="1:14" ht="39" customHeight="1" x14ac:dyDescent="0.25">
      <c r="A1118" t="str">
        <f t="shared" si="36"/>
        <v/>
      </c>
      <c r="N1118" s="2" t="str">
        <f t="shared" si="37"/>
        <v/>
      </c>
    </row>
    <row r="1119" spans="1:14" ht="39" customHeight="1" x14ac:dyDescent="0.25">
      <c r="A1119" t="str">
        <f t="shared" ref="A1119:A1182" si="38">E1081&amp;H1081</f>
        <v/>
      </c>
      <c r="N1119" s="2" t="str">
        <f t="shared" si="37"/>
        <v/>
      </c>
    </row>
    <row r="1120" spans="1:14" ht="39" customHeight="1" x14ac:dyDescent="0.25">
      <c r="A1120" t="str">
        <f t="shared" si="38"/>
        <v/>
      </c>
      <c r="N1120" s="2" t="str">
        <f t="shared" si="37"/>
        <v/>
      </c>
    </row>
    <row r="1121" spans="1:14" ht="39" customHeight="1" x14ac:dyDescent="0.25">
      <c r="A1121" t="str">
        <f t="shared" si="38"/>
        <v/>
      </c>
      <c r="N1121" s="2" t="str">
        <f t="shared" si="37"/>
        <v/>
      </c>
    </row>
    <row r="1122" spans="1:14" ht="39" customHeight="1" x14ac:dyDescent="0.25">
      <c r="A1122" t="str">
        <f t="shared" si="38"/>
        <v/>
      </c>
      <c r="N1122" s="2" t="str">
        <f t="shared" si="37"/>
        <v/>
      </c>
    </row>
    <row r="1123" spans="1:14" ht="39" customHeight="1" x14ac:dyDescent="0.25">
      <c r="A1123" t="str">
        <f t="shared" si="38"/>
        <v/>
      </c>
      <c r="N1123" s="2" t="str">
        <f t="shared" si="37"/>
        <v/>
      </c>
    </row>
    <row r="1124" spans="1:14" ht="39" customHeight="1" x14ac:dyDescent="0.25">
      <c r="A1124" t="str">
        <f t="shared" si="38"/>
        <v/>
      </c>
      <c r="N1124" s="2" t="str">
        <f t="shared" si="37"/>
        <v/>
      </c>
    </row>
    <row r="1125" spans="1:14" ht="39" customHeight="1" x14ac:dyDescent="0.25">
      <c r="A1125" t="str">
        <f t="shared" si="38"/>
        <v/>
      </c>
      <c r="N1125" s="2" t="str">
        <f t="shared" si="37"/>
        <v/>
      </c>
    </row>
    <row r="1126" spans="1:14" ht="39" customHeight="1" x14ac:dyDescent="0.25">
      <c r="A1126" t="str">
        <f t="shared" si="38"/>
        <v/>
      </c>
      <c r="N1126" s="2" t="str">
        <f t="shared" si="37"/>
        <v/>
      </c>
    </row>
    <row r="1127" spans="1:14" ht="39" customHeight="1" x14ac:dyDescent="0.25">
      <c r="A1127" t="str">
        <f t="shared" si="38"/>
        <v/>
      </c>
      <c r="N1127" s="2" t="str">
        <f t="shared" si="37"/>
        <v/>
      </c>
    </row>
    <row r="1128" spans="1:14" ht="39" customHeight="1" x14ac:dyDescent="0.25">
      <c r="A1128" t="str">
        <f t="shared" si="38"/>
        <v/>
      </c>
      <c r="N1128" s="2" t="str">
        <f t="shared" si="37"/>
        <v/>
      </c>
    </row>
    <row r="1129" spans="1:14" ht="39" customHeight="1" x14ac:dyDescent="0.25">
      <c r="A1129" t="str">
        <f t="shared" si="38"/>
        <v/>
      </c>
      <c r="N1129" s="2" t="str">
        <f t="shared" si="37"/>
        <v/>
      </c>
    </row>
    <row r="1130" spans="1:14" ht="39" customHeight="1" x14ac:dyDescent="0.25">
      <c r="A1130" t="str">
        <f t="shared" si="38"/>
        <v/>
      </c>
      <c r="N1130" s="2" t="str">
        <f t="shared" si="37"/>
        <v/>
      </c>
    </row>
    <row r="1131" spans="1:14" ht="39" customHeight="1" x14ac:dyDescent="0.25">
      <c r="A1131" t="str">
        <f t="shared" si="38"/>
        <v/>
      </c>
      <c r="N1131" s="2" t="str">
        <f t="shared" si="37"/>
        <v/>
      </c>
    </row>
    <row r="1132" spans="1:14" ht="39" customHeight="1" x14ac:dyDescent="0.25">
      <c r="A1132" t="str">
        <f t="shared" si="38"/>
        <v/>
      </c>
      <c r="N1132" s="2" t="str">
        <f t="shared" si="37"/>
        <v/>
      </c>
    </row>
    <row r="1133" spans="1:14" ht="39" customHeight="1" x14ac:dyDescent="0.25">
      <c r="A1133" t="str">
        <f t="shared" si="38"/>
        <v/>
      </c>
      <c r="N1133" s="2" t="str">
        <f t="shared" si="37"/>
        <v/>
      </c>
    </row>
    <row r="1134" spans="1:14" ht="39" customHeight="1" x14ac:dyDescent="0.25">
      <c r="A1134" t="str">
        <f t="shared" si="38"/>
        <v/>
      </c>
      <c r="N1134" s="2" t="str">
        <f t="shared" si="37"/>
        <v/>
      </c>
    </row>
    <row r="1135" spans="1:14" ht="39" customHeight="1" x14ac:dyDescent="0.25">
      <c r="A1135" t="str">
        <f t="shared" si="38"/>
        <v/>
      </c>
      <c r="N1135" s="2" t="str">
        <f t="shared" si="37"/>
        <v/>
      </c>
    </row>
    <row r="1136" spans="1:14" ht="39" customHeight="1" x14ac:dyDescent="0.25">
      <c r="A1136" t="str">
        <f t="shared" si="38"/>
        <v/>
      </c>
      <c r="N1136" s="2" t="str">
        <f t="shared" si="37"/>
        <v/>
      </c>
    </row>
    <row r="1137" spans="1:14" ht="39" customHeight="1" x14ac:dyDescent="0.25">
      <c r="A1137" t="str">
        <f t="shared" si="38"/>
        <v/>
      </c>
      <c r="N1137" s="2" t="str">
        <f t="shared" si="37"/>
        <v/>
      </c>
    </row>
    <row r="1138" spans="1:14" ht="39" customHeight="1" x14ac:dyDescent="0.25">
      <c r="A1138" t="str">
        <f t="shared" si="38"/>
        <v/>
      </c>
      <c r="N1138" s="2" t="str">
        <f t="shared" si="37"/>
        <v/>
      </c>
    </row>
    <row r="1139" spans="1:14" ht="39" customHeight="1" x14ac:dyDescent="0.25">
      <c r="A1139" t="str">
        <f t="shared" si="38"/>
        <v/>
      </c>
      <c r="N1139" s="2" t="str">
        <f t="shared" si="37"/>
        <v/>
      </c>
    </row>
    <row r="1140" spans="1:14" ht="39" customHeight="1" x14ac:dyDescent="0.25">
      <c r="A1140" t="str">
        <f t="shared" si="38"/>
        <v/>
      </c>
      <c r="N1140" s="2" t="str">
        <f t="shared" si="37"/>
        <v/>
      </c>
    </row>
    <row r="1141" spans="1:14" ht="39" customHeight="1" x14ac:dyDescent="0.25">
      <c r="A1141" t="str">
        <f t="shared" si="38"/>
        <v/>
      </c>
      <c r="N1141" s="2" t="str">
        <f t="shared" si="37"/>
        <v/>
      </c>
    </row>
    <row r="1142" spans="1:14" ht="39" customHeight="1" x14ac:dyDescent="0.25">
      <c r="A1142" t="str">
        <f t="shared" si="38"/>
        <v/>
      </c>
      <c r="N1142" s="2" t="str">
        <f t="shared" si="37"/>
        <v/>
      </c>
    </row>
    <row r="1143" spans="1:14" ht="39" customHeight="1" x14ac:dyDescent="0.25">
      <c r="A1143" t="str">
        <f t="shared" si="38"/>
        <v/>
      </c>
      <c r="N1143" s="2" t="str">
        <f t="shared" si="37"/>
        <v/>
      </c>
    </row>
    <row r="1144" spans="1:14" ht="39" customHeight="1" x14ac:dyDescent="0.25">
      <c r="A1144" t="str">
        <f t="shared" si="38"/>
        <v/>
      </c>
      <c r="N1144" s="2" t="str">
        <f t="shared" si="37"/>
        <v/>
      </c>
    </row>
    <row r="1145" spans="1:14" ht="39" customHeight="1" x14ac:dyDescent="0.25">
      <c r="A1145" t="str">
        <f t="shared" si="38"/>
        <v/>
      </c>
      <c r="N1145" s="2" t="str">
        <f t="shared" ref="N1145:N1208" si="39">IFERROR(((I1145*100)/H1145)-100,"")</f>
        <v/>
      </c>
    </row>
    <row r="1146" spans="1:14" ht="39" customHeight="1" x14ac:dyDescent="0.25">
      <c r="A1146" t="str">
        <f t="shared" si="38"/>
        <v/>
      </c>
      <c r="N1146" s="2" t="str">
        <f t="shared" si="39"/>
        <v/>
      </c>
    </row>
    <row r="1147" spans="1:14" ht="39" customHeight="1" x14ac:dyDescent="0.25">
      <c r="A1147" t="str">
        <f t="shared" si="38"/>
        <v/>
      </c>
      <c r="N1147" s="2" t="str">
        <f t="shared" si="39"/>
        <v/>
      </c>
    </row>
    <row r="1148" spans="1:14" ht="39" customHeight="1" x14ac:dyDescent="0.25">
      <c r="A1148" t="str">
        <f t="shared" si="38"/>
        <v/>
      </c>
      <c r="N1148" s="2" t="str">
        <f t="shared" si="39"/>
        <v/>
      </c>
    </row>
    <row r="1149" spans="1:14" ht="39" customHeight="1" x14ac:dyDescent="0.25">
      <c r="A1149" t="str">
        <f t="shared" si="38"/>
        <v/>
      </c>
      <c r="N1149" s="2" t="str">
        <f t="shared" si="39"/>
        <v/>
      </c>
    </row>
    <row r="1150" spans="1:14" ht="39" customHeight="1" x14ac:dyDescent="0.25">
      <c r="A1150" t="str">
        <f t="shared" si="38"/>
        <v/>
      </c>
      <c r="N1150" s="2" t="str">
        <f t="shared" si="39"/>
        <v/>
      </c>
    </row>
    <row r="1151" spans="1:14" ht="39" customHeight="1" x14ac:dyDescent="0.25">
      <c r="A1151" t="str">
        <f t="shared" si="38"/>
        <v/>
      </c>
      <c r="N1151" s="2" t="str">
        <f t="shared" si="39"/>
        <v/>
      </c>
    </row>
    <row r="1152" spans="1:14" ht="39" customHeight="1" x14ac:dyDescent="0.25">
      <c r="A1152" t="str">
        <f t="shared" si="38"/>
        <v/>
      </c>
      <c r="N1152" s="2" t="str">
        <f t="shared" si="39"/>
        <v/>
      </c>
    </row>
    <row r="1153" spans="1:14" ht="39" customHeight="1" x14ac:dyDescent="0.25">
      <c r="A1153" t="str">
        <f t="shared" si="38"/>
        <v/>
      </c>
      <c r="N1153" s="2" t="str">
        <f t="shared" si="39"/>
        <v/>
      </c>
    </row>
    <row r="1154" spans="1:14" ht="39" customHeight="1" x14ac:dyDescent="0.25">
      <c r="A1154" t="str">
        <f t="shared" si="38"/>
        <v/>
      </c>
      <c r="N1154" s="2" t="str">
        <f t="shared" si="39"/>
        <v/>
      </c>
    </row>
    <row r="1155" spans="1:14" ht="39" customHeight="1" x14ac:dyDescent="0.25">
      <c r="A1155" t="str">
        <f t="shared" si="38"/>
        <v/>
      </c>
      <c r="N1155" s="2" t="str">
        <f t="shared" si="39"/>
        <v/>
      </c>
    </row>
    <row r="1156" spans="1:14" ht="39" customHeight="1" x14ac:dyDescent="0.25">
      <c r="A1156" t="str">
        <f t="shared" si="38"/>
        <v/>
      </c>
      <c r="N1156" s="2" t="str">
        <f t="shared" si="39"/>
        <v/>
      </c>
    </row>
    <row r="1157" spans="1:14" ht="39" customHeight="1" x14ac:dyDescent="0.25">
      <c r="A1157" t="str">
        <f t="shared" si="38"/>
        <v/>
      </c>
      <c r="N1157" s="2" t="str">
        <f t="shared" si="39"/>
        <v/>
      </c>
    </row>
    <row r="1158" spans="1:14" ht="39" customHeight="1" x14ac:dyDescent="0.25">
      <c r="A1158" t="str">
        <f t="shared" si="38"/>
        <v/>
      </c>
      <c r="N1158" s="2" t="str">
        <f t="shared" si="39"/>
        <v/>
      </c>
    </row>
    <row r="1159" spans="1:14" ht="39" customHeight="1" x14ac:dyDescent="0.25">
      <c r="A1159" t="str">
        <f t="shared" si="38"/>
        <v/>
      </c>
      <c r="N1159" s="2" t="str">
        <f t="shared" si="39"/>
        <v/>
      </c>
    </row>
    <row r="1160" spans="1:14" ht="39" customHeight="1" x14ac:dyDescent="0.25">
      <c r="A1160" t="str">
        <f t="shared" si="38"/>
        <v/>
      </c>
      <c r="N1160" s="2" t="str">
        <f t="shared" si="39"/>
        <v/>
      </c>
    </row>
    <row r="1161" spans="1:14" ht="39" customHeight="1" x14ac:dyDescent="0.25">
      <c r="A1161" t="str">
        <f t="shared" si="38"/>
        <v/>
      </c>
      <c r="N1161" s="2" t="str">
        <f t="shared" si="39"/>
        <v/>
      </c>
    </row>
    <row r="1162" spans="1:14" ht="39" customHeight="1" x14ac:dyDescent="0.25">
      <c r="A1162" t="str">
        <f t="shared" si="38"/>
        <v/>
      </c>
      <c r="N1162" s="2" t="str">
        <f t="shared" si="39"/>
        <v/>
      </c>
    </row>
    <row r="1163" spans="1:14" ht="39" customHeight="1" x14ac:dyDescent="0.25">
      <c r="A1163" t="str">
        <f t="shared" si="38"/>
        <v/>
      </c>
      <c r="N1163" s="2" t="str">
        <f t="shared" si="39"/>
        <v/>
      </c>
    </row>
    <row r="1164" spans="1:14" ht="39" customHeight="1" x14ac:dyDescent="0.25">
      <c r="A1164" t="str">
        <f t="shared" si="38"/>
        <v/>
      </c>
      <c r="N1164" s="2" t="str">
        <f t="shared" si="39"/>
        <v/>
      </c>
    </row>
    <row r="1165" spans="1:14" ht="39" customHeight="1" x14ac:dyDescent="0.25">
      <c r="A1165" t="str">
        <f t="shared" si="38"/>
        <v/>
      </c>
      <c r="N1165" s="2" t="str">
        <f t="shared" si="39"/>
        <v/>
      </c>
    </row>
    <row r="1166" spans="1:14" ht="39" customHeight="1" x14ac:dyDescent="0.25">
      <c r="A1166" t="str">
        <f t="shared" si="38"/>
        <v/>
      </c>
      <c r="N1166" s="2" t="str">
        <f t="shared" si="39"/>
        <v/>
      </c>
    </row>
    <row r="1167" spans="1:14" ht="39" customHeight="1" x14ac:dyDescent="0.25">
      <c r="A1167" t="str">
        <f t="shared" si="38"/>
        <v/>
      </c>
      <c r="N1167" s="2" t="str">
        <f t="shared" si="39"/>
        <v/>
      </c>
    </row>
    <row r="1168" spans="1:14" ht="39" customHeight="1" x14ac:dyDescent="0.25">
      <c r="A1168" t="str">
        <f t="shared" si="38"/>
        <v/>
      </c>
      <c r="N1168" s="2" t="str">
        <f t="shared" si="39"/>
        <v/>
      </c>
    </row>
    <row r="1169" spans="1:14" ht="39" customHeight="1" x14ac:dyDescent="0.25">
      <c r="A1169" t="str">
        <f t="shared" si="38"/>
        <v/>
      </c>
      <c r="N1169" s="2" t="str">
        <f t="shared" si="39"/>
        <v/>
      </c>
    </row>
    <row r="1170" spans="1:14" ht="39" customHeight="1" x14ac:dyDescent="0.25">
      <c r="A1170" t="str">
        <f t="shared" si="38"/>
        <v/>
      </c>
      <c r="N1170" s="2" t="str">
        <f t="shared" si="39"/>
        <v/>
      </c>
    </row>
    <row r="1171" spans="1:14" ht="39" customHeight="1" x14ac:dyDescent="0.25">
      <c r="A1171" t="str">
        <f t="shared" si="38"/>
        <v/>
      </c>
      <c r="N1171" s="2" t="str">
        <f t="shared" si="39"/>
        <v/>
      </c>
    </row>
    <row r="1172" spans="1:14" ht="39" customHeight="1" x14ac:dyDescent="0.25">
      <c r="A1172" t="str">
        <f t="shared" si="38"/>
        <v/>
      </c>
      <c r="N1172" s="2" t="str">
        <f t="shared" si="39"/>
        <v/>
      </c>
    </row>
    <row r="1173" spans="1:14" ht="39" customHeight="1" x14ac:dyDescent="0.25">
      <c r="A1173" t="str">
        <f t="shared" si="38"/>
        <v/>
      </c>
      <c r="N1173" s="2" t="str">
        <f t="shared" si="39"/>
        <v/>
      </c>
    </row>
    <row r="1174" spans="1:14" ht="39" customHeight="1" x14ac:dyDescent="0.25">
      <c r="A1174" t="str">
        <f t="shared" si="38"/>
        <v/>
      </c>
      <c r="N1174" s="2" t="str">
        <f t="shared" si="39"/>
        <v/>
      </c>
    </row>
    <row r="1175" spans="1:14" ht="39" customHeight="1" x14ac:dyDescent="0.25">
      <c r="A1175" t="str">
        <f t="shared" si="38"/>
        <v/>
      </c>
      <c r="N1175" s="2" t="str">
        <f t="shared" si="39"/>
        <v/>
      </c>
    </row>
    <row r="1176" spans="1:14" ht="39" customHeight="1" x14ac:dyDescent="0.25">
      <c r="A1176" t="str">
        <f t="shared" si="38"/>
        <v/>
      </c>
      <c r="N1176" s="2" t="str">
        <f t="shared" si="39"/>
        <v/>
      </c>
    </row>
    <row r="1177" spans="1:14" ht="39" customHeight="1" x14ac:dyDescent="0.25">
      <c r="A1177" t="str">
        <f t="shared" si="38"/>
        <v/>
      </c>
      <c r="N1177" s="2" t="str">
        <f t="shared" si="39"/>
        <v/>
      </c>
    </row>
    <row r="1178" spans="1:14" ht="39" customHeight="1" x14ac:dyDescent="0.25">
      <c r="A1178" t="str">
        <f t="shared" si="38"/>
        <v/>
      </c>
      <c r="N1178" s="2" t="str">
        <f t="shared" si="39"/>
        <v/>
      </c>
    </row>
    <row r="1179" spans="1:14" ht="39" customHeight="1" x14ac:dyDescent="0.25">
      <c r="A1179" t="str">
        <f t="shared" si="38"/>
        <v/>
      </c>
      <c r="N1179" s="2" t="str">
        <f t="shared" si="39"/>
        <v/>
      </c>
    </row>
    <row r="1180" spans="1:14" ht="39" customHeight="1" x14ac:dyDescent="0.25">
      <c r="A1180" t="str">
        <f t="shared" si="38"/>
        <v/>
      </c>
      <c r="N1180" s="2" t="str">
        <f t="shared" si="39"/>
        <v/>
      </c>
    </row>
    <row r="1181" spans="1:14" ht="39" customHeight="1" x14ac:dyDescent="0.25">
      <c r="A1181" t="str">
        <f t="shared" si="38"/>
        <v/>
      </c>
      <c r="N1181" s="2" t="str">
        <f t="shared" si="39"/>
        <v/>
      </c>
    </row>
    <row r="1182" spans="1:14" ht="39" customHeight="1" x14ac:dyDescent="0.25">
      <c r="A1182" t="str">
        <f t="shared" si="38"/>
        <v/>
      </c>
      <c r="N1182" s="2" t="str">
        <f t="shared" si="39"/>
        <v/>
      </c>
    </row>
    <row r="1183" spans="1:14" ht="39" customHeight="1" x14ac:dyDescent="0.25">
      <c r="A1183" t="str">
        <f t="shared" ref="A1183:A1246" si="40">E1145&amp;H1145</f>
        <v/>
      </c>
      <c r="N1183" s="2" t="str">
        <f t="shared" si="39"/>
        <v/>
      </c>
    </row>
    <row r="1184" spans="1:14" ht="39" customHeight="1" x14ac:dyDescent="0.25">
      <c r="A1184" t="str">
        <f t="shared" si="40"/>
        <v/>
      </c>
      <c r="N1184" s="2" t="str">
        <f t="shared" si="39"/>
        <v/>
      </c>
    </row>
    <row r="1185" spans="1:14" ht="39" customHeight="1" x14ac:dyDescent="0.25">
      <c r="A1185" t="str">
        <f t="shared" si="40"/>
        <v/>
      </c>
      <c r="N1185" s="2" t="str">
        <f t="shared" si="39"/>
        <v/>
      </c>
    </row>
    <row r="1186" spans="1:14" ht="39" customHeight="1" x14ac:dyDescent="0.25">
      <c r="A1186" t="str">
        <f t="shared" si="40"/>
        <v/>
      </c>
      <c r="N1186" s="2" t="str">
        <f t="shared" si="39"/>
        <v/>
      </c>
    </row>
    <row r="1187" spans="1:14" ht="39" customHeight="1" x14ac:dyDescent="0.25">
      <c r="A1187" t="str">
        <f t="shared" si="40"/>
        <v/>
      </c>
      <c r="N1187" s="2" t="str">
        <f t="shared" si="39"/>
        <v/>
      </c>
    </row>
    <row r="1188" spans="1:14" ht="39" customHeight="1" x14ac:dyDescent="0.25">
      <c r="A1188" t="str">
        <f t="shared" si="40"/>
        <v/>
      </c>
      <c r="N1188" s="2" t="str">
        <f t="shared" si="39"/>
        <v/>
      </c>
    </row>
    <row r="1189" spans="1:14" ht="39" customHeight="1" x14ac:dyDescent="0.25">
      <c r="A1189" t="str">
        <f t="shared" si="40"/>
        <v/>
      </c>
      <c r="N1189" s="2" t="str">
        <f t="shared" si="39"/>
        <v/>
      </c>
    </row>
    <row r="1190" spans="1:14" ht="39" customHeight="1" x14ac:dyDescent="0.25">
      <c r="A1190" t="str">
        <f t="shared" si="40"/>
        <v/>
      </c>
      <c r="N1190" s="2" t="str">
        <f t="shared" si="39"/>
        <v/>
      </c>
    </row>
    <row r="1191" spans="1:14" ht="39" customHeight="1" x14ac:dyDescent="0.25">
      <c r="A1191" t="str">
        <f t="shared" si="40"/>
        <v/>
      </c>
      <c r="N1191" s="2" t="str">
        <f t="shared" si="39"/>
        <v/>
      </c>
    </row>
    <row r="1192" spans="1:14" ht="39" customHeight="1" x14ac:dyDescent="0.25">
      <c r="A1192" t="str">
        <f t="shared" si="40"/>
        <v/>
      </c>
      <c r="N1192" s="2" t="str">
        <f t="shared" si="39"/>
        <v/>
      </c>
    </row>
    <row r="1193" spans="1:14" ht="39" customHeight="1" x14ac:dyDescent="0.25">
      <c r="A1193" t="str">
        <f t="shared" si="40"/>
        <v/>
      </c>
      <c r="N1193" s="2" t="str">
        <f t="shared" si="39"/>
        <v/>
      </c>
    </row>
    <row r="1194" spans="1:14" ht="39" customHeight="1" x14ac:dyDescent="0.25">
      <c r="A1194" t="str">
        <f t="shared" si="40"/>
        <v/>
      </c>
      <c r="N1194" s="2" t="str">
        <f t="shared" si="39"/>
        <v/>
      </c>
    </row>
    <row r="1195" spans="1:14" ht="39" customHeight="1" x14ac:dyDescent="0.25">
      <c r="A1195" t="str">
        <f t="shared" si="40"/>
        <v/>
      </c>
      <c r="N1195" s="2" t="str">
        <f t="shared" si="39"/>
        <v/>
      </c>
    </row>
    <row r="1196" spans="1:14" ht="39" customHeight="1" x14ac:dyDescent="0.25">
      <c r="A1196" t="str">
        <f t="shared" si="40"/>
        <v/>
      </c>
      <c r="N1196" s="2" t="str">
        <f t="shared" si="39"/>
        <v/>
      </c>
    </row>
    <row r="1197" spans="1:14" ht="39" customHeight="1" x14ac:dyDescent="0.25">
      <c r="A1197" t="str">
        <f t="shared" si="40"/>
        <v/>
      </c>
      <c r="N1197" s="2" t="str">
        <f t="shared" si="39"/>
        <v/>
      </c>
    </row>
    <row r="1198" spans="1:14" ht="39" customHeight="1" x14ac:dyDescent="0.25">
      <c r="A1198" t="str">
        <f t="shared" si="40"/>
        <v/>
      </c>
      <c r="N1198" s="2" t="str">
        <f t="shared" si="39"/>
        <v/>
      </c>
    </row>
    <row r="1199" spans="1:14" ht="39" customHeight="1" x14ac:dyDescent="0.25">
      <c r="A1199" t="str">
        <f t="shared" si="40"/>
        <v/>
      </c>
      <c r="N1199" s="2" t="str">
        <f t="shared" si="39"/>
        <v/>
      </c>
    </row>
    <row r="1200" spans="1:14" ht="39" customHeight="1" x14ac:dyDescent="0.25">
      <c r="A1200" t="str">
        <f t="shared" si="40"/>
        <v/>
      </c>
      <c r="N1200" s="2" t="str">
        <f t="shared" si="39"/>
        <v/>
      </c>
    </row>
    <row r="1201" spans="1:14" ht="39" customHeight="1" x14ac:dyDescent="0.25">
      <c r="A1201" t="str">
        <f t="shared" si="40"/>
        <v/>
      </c>
      <c r="N1201" s="2" t="str">
        <f t="shared" si="39"/>
        <v/>
      </c>
    </row>
    <row r="1202" spans="1:14" ht="39" customHeight="1" x14ac:dyDescent="0.25">
      <c r="A1202" t="str">
        <f t="shared" si="40"/>
        <v/>
      </c>
      <c r="N1202" s="2" t="str">
        <f t="shared" si="39"/>
        <v/>
      </c>
    </row>
    <row r="1203" spans="1:14" ht="39" customHeight="1" x14ac:dyDescent="0.25">
      <c r="A1203" t="str">
        <f t="shared" si="40"/>
        <v/>
      </c>
      <c r="N1203" s="2" t="str">
        <f t="shared" si="39"/>
        <v/>
      </c>
    </row>
    <row r="1204" spans="1:14" ht="39" customHeight="1" x14ac:dyDescent="0.25">
      <c r="A1204" t="str">
        <f t="shared" si="40"/>
        <v/>
      </c>
      <c r="N1204" s="2" t="str">
        <f t="shared" si="39"/>
        <v/>
      </c>
    </row>
    <row r="1205" spans="1:14" ht="39" customHeight="1" x14ac:dyDescent="0.25">
      <c r="A1205" t="str">
        <f t="shared" si="40"/>
        <v/>
      </c>
      <c r="N1205" s="2" t="str">
        <f t="shared" si="39"/>
        <v/>
      </c>
    </row>
    <row r="1206" spans="1:14" ht="39" customHeight="1" x14ac:dyDescent="0.25">
      <c r="A1206" t="str">
        <f t="shared" si="40"/>
        <v/>
      </c>
      <c r="N1206" s="2" t="str">
        <f t="shared" si="39"/>
        <v/>
      </c>
    </row>
    <row r="1207" spans="1:14" ht="39" customHeight="1" x14ac:dyDescent="0.25">
      <c r="A1207" t="str">
        <f t="shared" si="40"/>
        <v/>
      </c>
      <c r="N1207" s="2" t="str">
        <f t="shared" si="39"/>
        <v/>
      </c>
    </row>
    <row r="1208" spans="1:14" ht="39" customHeight="1" x14ac:dyDescent="0.25">
      <c r="A1208" t="str">
        <f t="shared" si="40"/>
        <v/>
      </c>
      <c r="N1208" s="2" t="str">
        <f t="shared" si="39"/>
        <v/>
      </c>
    </row>
    <row r="1209" spans="1:14" ht="39" customHeight="1" x14ac:dyDescent="0.25">
      <c r="A1209" t="str">
        <f t="shared" si="40"/>
        <v/>
      </c>
      <c r="N1209" s="2" t="str">
        <f t="shared" ref="N1209:N1212" si="41">IFERROR(((I1209*100)/H1209)-100,"")</f>
        <v/>
      </c>
    </row>
    <row r="1210" spans="1:14" ht="39" customHeight="1" x14ac:dyDescent="0.25">
      <c r="A1210" t="str">
        <f t="shared" si="40"/>
        <v/>
      </c>
      <c r="N1210" s="2" t="str">
        <f t="shared" si="41"/>
        <v/>
      </c>
    </row>
    <row r="1211" spans="1:14" ht="39" customHeight="1" x14ac:dyDescent="0.25">
      <c r="A1211" t="str">
        <f t="shared" si="40"/>
        <v/>
      </c>
      <c r="N1211" s="2" t="str">
        <f t="shared" si="41"/>
        <v/>
      </c>
    </row>
    <row r="1212" spans="1:14" ht="39" customHeight="1" x14ac:dyDescent="0.25">
      <c r="A1212" t="str">
        <f t="shared" si="40"/>
        <v/>
      </c>
      <c r="N1212" s="2" t="str">
        <f t="shared" si="41"/>
        <v/>
      </c>
    </row>
    <row r="1213" spans="1:14" ht="39" customHeight="1" x14ac:dyDescent="0.25">
      <c r="A1213" t="str">
        <f t="shared" si="40"/>
        <v/>
      </c>
      <c r="I1213" s="12" t="e">
        <f>VLOOKUP(A1251,#REF!,9,0)</f>
        <v>#REF!</v>
      </c>
      <c r="J1213" s="1" t="e">
        <f>IF(VLOOKUP(A1251,#REF!,10,0)=0,"",VLOOKUP(A1251,#REF!,10,0))</f>
        <v>#REF!</v>
      </c>
      <c r="N1213" s="1" t="str">
        <f t="shared" ref="N1213" si="42">IFERROR(((M1213*100)/H1213)-100,"")</f>
        <v/>
      </c>
    </row>
    <row r="1214" spans="1:14" ht="39" customHeight="1" x14ac:dyDescent="0.25">
      <c r="A1214" t="str">
        <f t="shared" si="40"/>
        <v/>
      </c>
    </row>
    <row r="1215" spans="1:14" ht="39" customHeight="1" x14ac:dyDescent="0.25">
      <c r="A1215" t="str">
        <f t="shared" si="40"/>
        <v/>
      </c>
    </row>
    <row r="1216" spans="1:14" ht="39" customHeight="1" x14ac:dyDescent="0.25">
      <c r="A1216" t="str">
        <f t="shared" si="40"/>
        <v/>
      </c>
    </row>
    <row r="1217" spans="1:1" ht="39" customHeight="1" x14ac:dyDescent="0.25">
      <c r="A1217" t="str">
        <f t="shared" si="40"/>
        <v/>
      </c>
    </row>
    <row r="1218" spans="1:1" ht="39" customHeight="1" x14ac:dyDescent="0.25">
      <c r="A1218" t="str">
        <f t="shared" si="40"/>
        <v/>
      </c>
    </row>
    <row r="1219" spans="1:1" ht="39" customHeight="1" x14ac:dyDescent="0.25">
      <c r="A1219" t="str">
        <f t="shared" si="40"/>
        <v/>
      </c>
    </row>
    <row r="1220" spans="1:1" ht="39" customHeight="1" x14ac:dyDescent="0.25">
      <c r="A1220" t="str">
        <f t="shared" si="40"/>
        <v/>
      </c>
    </row>
    <row r="1221" spans="1:1" ht="39" customHeight="1" x14ac:dyDescent="0.25">
      <c r="A1221" t="str">
        <f t="shared" si="40"/>
        <v/>
      </c>
    </row>
    <row r="1222" spans="1:1" ht="39" customHeight="1" x14ac:dyDescent="0.25">
      <c r="A1222" t="str">
        <f t="shared" si="40"/>
        <v/>
      </c>
    </row>
    <row r="1223" spans="1:1" ht="39" customHeight="1" x14ac:dyDescent="0.25">
      <c r="A1223" t="str">
        <f t="shared" si="40"/>
        <v/>
      </c>
    </row>
    <row r="1224" spans="1:1" ht="39" customHeight="1" x14ac:dyDescent="0.25">
      <c r="A1224" t="str">
        <f t="shared" si="40"/>
        <v/>
      </c>
    </row>
    <row r="1225" spans="1:1" ht="39" customHeight="1" x14ac:dyDescent="0.25">
      <c r="A1225" t="str">
        <f t="shared" si="40"/>
        <v/>
      </c>
    </row>
    <row r="1226" spans="1:1" ht="39" customHeight="1" x14ac:dyDescent="0.25">
      <c r="A1226" t="str">
        <f t="shared" si="40"/>
        <v/>
      </c>
    </row>
    <row r="1227" spans="1:1" ht="39" customHeight="1" x14ac:dyDescent="0.25">
      <c r="A1227" t="str">
        <f t="shared" si="40"/>
        <v/>
      </c>
    </row>
    <row r="1228" spans="1:1" ht="39" customHeight="1" x14ac:dyDescent="0.25">
      <c r="A1228" t="str">
        <f t="shared" si="40"/>
        <v/>
      </c>
    </row>
    <row r="1229" spans="1:1" ht="39" customHeight="1" x14ac:dyDescent="0.25">
      <c r="A1229" t="str">
        <f t="shared" si="40"/>
        <v/>
      </c>
    </row>
    <row r="1230" spans="1:1" ht="39" customHeight="1" x14ac:dyDescent="0.25">
      <c r="A1230" t="str">
        <f t="shared" si="40"/>
        <v/>
      </c>
    </row>
    <row r="1231" spans="1:1" ht="39" customHeight="1" x14ac:dyDescent="0.25">
      <c r="A1231" t="str">
        <f t="shared" si="40"/>
        <v/>
      </c>
    </row>
    <row r="1232" spans="1:1" ht="39" customHeight="1" x14ac:dyDescent="0.25">
      <c r="A1232" t="str">
        <f t="shared" si="40"/>
        <v/>
      </c>
    </row>
    <row r="1233" spans="1:1" ht="39" customHeight="1" x14ac:dyDescent="0.25">
      <c r="A1233" t="str">
        <f t="shared" si="40"/>
        <v/>
      </c>
    </row>
    <row r="1234" spans="1:1" ht="39" customHeight="1" x14ac:dyDescent="0.25">
      <c r="A1234" t="str">
        <f t="shared" si="40"/>
        <v/>
      </c>
    </row>
    <row r="1235" spans="1:1" ht="39" customHeight="1" x14ac:dyDescent="0.25">
      <c r="A1235" t="str">
        <f t="shared" si="40"/>
        <v/>
      </c>
    </row>
    <row r="1236" spans="1:1" ht="39" customHeight="1" x14ac:dyDescent="0.25">
      <c r="A1236" t="str">
        <f t="shared" si="40"/>
        <v/>
      </c>
    </row>
    <row r="1237" spans="1:1" ht="39" customHeight="1" x14ac:dyDescent="0.25">
      <c r="A1237" t="str">
        <f t="shared" si="40"/>
        <v/>
      </c>
    </row>
    <row r="1238" spans="1:1" ht="39" customHeight="1" x14ac:dyDescent="0.25">
      <c r="A1238" t="str">
        <f t="shared" si="40"/>
        <v/>
      </c>
    </row>
    <row r="1239" spans="1:1" ht="39" customHeight="1" x14ac:dyDescent="0.25">
      <c r="A1239" t="str">
        <f t="shared" si="40"/>
        <v/>
      </c>
    </row>
    <row r="1240" spans="1:1" ht="39" customHeight="1" x14ac:dyDescent="0.25">
      <c r="A1240" t="str">
        <f t="shared" si="40"/>
        <v/>
      </c>
    </row>
    <row r="1241" spans="1:1" ht="39" customHeight="1" x14ac:dyDescent="0.25">
      <c r="A1241" t="str">
        <f t="shared" si="40"/>
        <v/>
      </c>
    </row>
    <row r="1242" spans="1:1" ht="39" customHeight="1" x14ac:dyDescent="0.25">
      <c r="A1242" t="str">
        <f t="shared" si="40"/>
        <v/>
      </c>
    </row>
    <row r="1243" spans="1:1" ht="39" customHeight="1" x14ac:dyDescent="0.25">
      <c r="A1243" t="str">
        <f t="shared" si="40"/>
        <v/>
      </c>
    </row>
    <row r="1244" spans="1:1" ht="39" customHeight="1" x14ac:dyDescent="0.25">
      <c r="A1244" t="str">
        <f t="shared" si="40"/>
        <v/>
      </c>
    </row>
    <row r="1245" spans="1:1" ht="39" customHeight="1" x14ac:dyDescent="0.25">
      <c r="A1245" t="str">
        <f t="shared" si="40"/>
        <v/>
      </c>
    </row>
    <row r="1246" spans="1:1" ht="39" customHeight="1" x14ac:dyDescent="0.25">
      <c r="A1246" t="str">
        <f t="shared" si="40"/>
        <v/>
      </c>
    </row>
    <row r="1247" spans="1:1" ht="39" customHeight="1" x14ac:dyDescent="0.25">
      <c r="A1247" t="str">
        <f t="shared" ref="A1247:A1250" si="43">E1209&amp;H1209</f>
        <v/>
      </c>
    </row>
    <row r="1248" spans="1:1" ht="39" customHeight="1" x14ac:dyDescent="0.25">
      <c r="A1248" t="str">
        <f t="shared" si="43"/>
        <v/>
      </c>
    </row>
    <row r="1249" spans="1:1" ht="39" customHeight="1" x14ac:dyDescent="0.25">
      <c r="A1249" t="str">
        <f t="shared" si="43"/>
        <v/>
      </c>
    </row>
    <row r="1250" spans="1:1" ht="39" customHeight="1" x14ac:dyDescent="0.25">
      <c r="A1250" t="str">
        <f t="shared" si="43"/>
        <v/>
      </c>
    </row>
  </sheetData>
  <autoFilter ref="B1:N1" xr:uid="{4166A4D7-0D3D-4802-94E6-9863580141D8}"/>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Данные по аукциону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Щанкин Дмитрий Алексеевич</cp:lastModifiedBy>
  <dcterms:created xsi:type="dcterms:W3CDTF">2020-06-21T06:19:18Z</dcterms:created>
  <dcterms:modified xsi:type="dcterms:W3CDTF">2025-11-17T05:54:01Z</dcterms:modified>
</cp:coreProperties>
</file>